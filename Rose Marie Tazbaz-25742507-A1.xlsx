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emarietazbaz/Desktop/UTS/2nd Term/Data Visualisation and Visual Analytics/"/>
    </mc:Choice>
  </mc:AlternateContent>
  <xr:revisionPtr revIDLastSave="0" documentId="13_ncr:1_{F06593DE-A426-9143-BCA4-292F85E46F3F}" xr6:coauthVersionLast="47" xr6:coauthVersionMax="47" xr10:uidLastSave="{00000000-0000-0000-0000-000000000000}"/>
  <bookViews>
    <workbookView xWindow="-20" yWindow="500" windowWidth="28800" windowHeight="16260" firstSheet="5" activeTab="9" xr2:uid="{6558B368-9013-5145-8193-F563386D12B3}"/>
  </bookViews>
  <sheets>
    <sheet name="AEF-keep" sheetId="1" r:id="rId1"/>
    <sheet name="Stock close price vs volume " sheetId="4" r:id="rId2"/>
    <sheet name="Stock movement analysis" sheetId="5" r:id="rId3"/>
    <sheet name="Capital vs issued shares analys" sheetId="7" r:id="rId4"/>
    <sheet name="Close price yield analysis" sheetId="8" r:id="rId5"/>
    <sheet name="Portfolio Value" sheetId="9" r:id="rId6"/>
    <sheet name="Single trade for max profits" sheetId="10" r:id="rId7"/>
    <sheet name="Multi trades for maximum profit" sheetId="11" r:id="rId8"/>
    <sheet name="Volatility analysis" sheetId="12" r:id="rId9"/>
    <sheet name="Monthly perf. analysis" sheetId="14" r:id="rId10"/>
  </sheets>
  <definedNames>
    <definedName name="_xlnm._FilterDatabase" localSheetId="0" hidden="1">'AEF-keep'!$A$1:$K$256</definedName>
    <definedName name="_xlchart.v1.0" hidden="1">'AEF-keep'!$C$2:$C$258</definedName>
    <definedName name="_xlchart.v1.1" hidden="1">'AEF-keep'!$G$1</definedName>
    <definedName name="_xlchart.v1.2" hidden="1">'AEF-keep'!$G$2:$G$258</definedName>
    <definedName name="_xlchart.v1.3" hidden="1">'AEF-keep'!$L$1</definedName>
    <definedName name="_xlchart.v1.4" hidden="1">'AEF-keep'!$L$2:$L$258</definedName>
    <definedName name="_xlchart.v1.5" hidden="1">'AEF-keep'!$C$2:$C$258</definedName>
    <definedName name="_xlchart.v1.6" hidden="1">'AEF-keep'!$G$1</definedName>
    <definedName name="_xlchart.v1.7" hidden="1">'AEF-keep'!$G$2:$G$258</definedName>
    <definedName name="_xlchart.v1.8" hidden="1">'AEF-keep'!$L$1</definedName>
    <definedName name="_xlchart.v1.9" hidden="1">'AEF-keep'!$L$2:$L$258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D14" i="14"/>
  <c r="E4" i="14"/>
  <c r="E5" i="14"/>
  <c r="E6" i="14" s="1"/>
  <c r="E7" i="14" s="1"/>
  <c r="E8" i="14" s="1"/>
  <c r="E9" i="14" s="1"/>
  <c r="E10" i="14" s="1"/>
  <c r="E11" i="14" s="1"/>
  <c r="E12" i="14" s="1"/>
  <c r="E13" i="14" s="1"/>
  <c r="E3" i="14"/>
  <c r="E2" i="14"/>
  <c r="D3" i="14"/>
  <c r="D4" i="14"/>
  <c r="D5" i="14"/>
  <c r="D6" i="14"/>
  <c r="D7" i="14"/>
  <c r="D8" i="14"/>
  <c r="D9" i="14"/>
  <c r="D10" i="14"/>
  <c r="D11" i="14"/>
  <c r="D12" i="14"/>
  <c r="D13" i="14"/>
  <c r="D2" i="14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" i="1"/>
  <c r="J3" i="11"/>
  <c r="J2" i="11"/>
  <c r="J4" i="11"/>
  <c r="I5" i="11"/>
  <c r="E2" i="11"/>
  <c r="H2" i="11" s="1"/>
  <c r="R2" i="1"/>
  <c r="B3" i="10" s="1"/>
  <c r="R1" i="1"/>
  <c r="B2" i="10" s="1"/>
  <c r="M3" i="1"/>
  <c r="N3" i="1" s="1"/>
  <c r="O3" i="1" s="1"/>
  <c r="M4" i="1"/>
  <c r="N4" i="1" s="1"/>
  <c r="O4" i="1" s="1"/>
  <c r="M5" i="1"/>
  <c r="N5" i="1" s="1"/>
  <c r="O5" i="1" s="1"/>
  <c r="M6" i="1"/>
  <c r="N6" i="1" s="1"/>
  <c r="O6" i="1" s="1"/>
  <c r="M7" i="1"/>
  <c r="N7" i="1" s="1"/>
  <c r="O7" i="1" s="1"/>
  <c r="M8" i="1"/>
  <c r="N8" i="1" s="1"/>
  <c r="O8" i="1" s="1"/>
  <c r="M9" i="1"/>
  <c r="N9" i="1" s="1"/>
  <c r="O9" i="1" s="1"/>
  <c r="M10" i="1"/>
  <c r="N10" i="1" s="1"/>
  <c r="O10" i="1" s="1"/>
  <c r="M11" i="1"/>
  <c r="N11" i="1" s="1"/>
  <c r="O11" i="1" s="1"/>
  <c r="M12" i="1"/>
  <c r="N12" i="1" s="1"/>
  <c r="O12" i="1" s="1"/>
  <c r="M13" i="1"/>
  <c r="N13" i="1" s="1"/>
  <c r="O13" i="1" s="1"/>
  <c r="M14" i="1"/>
  <c r="N14" i="1" s="1"/>
  <c r="O14" i="1" s="1"/>
  <c r="M15" i="1"/>
  <c r="N15" i="1" s="1"/>
  <c r="O15" i="1" s="1"/>
  <c r="M16" i="1"/>
  <c r="N16" i="1" s="1"/>
  <c r="O16" i="1" s="1"/>
  <c r="M17" i="1"/>
  <c r="N17" i="1" s="1"/>
  <c r="O17" i="1" s="1"/>
  <c r="M18" i="1"/>
  <c r="N18" i="1" s="1"/>
  <c r="O18" i="1" s="1"/>
  <c r="M19" i="1"/>
  <c r="N19" i="1" s="1"/>
  <c r="O19" i="1" s="1"/>
  <c r="M20" i="1"/>
  <c r="N20" i="1" s="1"/>
  <c r="O20" i="1" s="1"/>
  <c r="M21" i="1"/>
  <c r="N21" i="1" s="1"/>
  <c r="O21" i="1" s="1"/>
  <c r="M22" i="1"/>
  <c r="N22" i="1" s="1"/>
  <c r="O22" i="1" s="1"/>
  <c r="M23" i="1"/>
  <c r="N23" i="1" s="1"/>
  <c r="O23" i="1" s="1"/>
  <c r="M24" i="1"/>
  <c r="N24" i="1" s="1"/>
  <c r="O24" i="1" s="1"/>
  <c r="M25" i="1"/>
  <c r="N25" i="1" s="1"/>
  <c r="O25" i="1" s="1"/>
  <c r="M26" i="1"/>
  <c r="N26" i="1" s="1"/>
  <c r="O26" i="1" s="1"/>
  <c r="M27" i="1"/>
  <c r="N27" i="1" s="1"/>
  <c r="O27" i="1" s="1"/>
  <c r="M28" i="1"/>
  <c r="N28" i="1" s="1"/>
  <c r="O28" i="1" s="1"/>
  <c r="M29" i="1"/>
  <c r="N29" i="1" s="1"/>
  <c r="O29" i="1" s="1"/>
  <c r="M30" i="1"/>
  <c r="N30" i="1" s="1"/>
  <c r="O30" i="1" s="1"/>
  <c r="M31" i="1"/>
  <c r="N31" i="1" s="1"/>
  <c r="O31" i="1" s="1"/>
  <c r="M32" i="1"/>
  <c r="N32" i="1" s="1"/>
  <c r="O32" i="1" s="1"/>
  <c r="M33" i="1"/>
  <c r="N33" i="1" s="1"/>
  <c r="O33" i="1" s="1"/>
  <c r="M34" i="1"/>
  <c r="N34" i="1" s="1"/>
  <c r="O34" i="1" s="1"/>
  <c r="M35" i="1"/>
  <c r="N35" i="1" s="1"/>
  <c r="O35" i="1" s="1"/>
  <c r="M36" i="1"/>
  <c r="N36" i="1" s="1"/>
  <c r="O36" i="1" s="1"/>
  <c r="M37" i="1"/>
  <c r="N37" i="1" s="1"/>
  <c r="O37" i="1" s="1"/>
  <c r="M38" i="1"/>
  <c r="N38" i="1" s="1"/>
  <c r="O38" i="1" s="1"/>
  <c r="M39" i="1"/>
  <c r="N39" i="1" s="1"/>
  <c r="O39" i="1" s="1"/>
  <c r="M40" i="1"/>
  <c r="N40" i="1" s="1"/>
  <c r="O40" i="1" s="1"/>
  <c r="M41" i="1"/>
  <c r="N41" i="1" s="1"/>
  <c r="O41" i="1" s="1"/>
  <c r="M42" i="1"/>
  <c r="N42" i="1" s="1"/>
  <c r="O42" i="1" s="1"/>
  <c r="M43" i="1"/>
  <c r="N43" i="1" s="1"/>
  <c r="O43" i="1" s="1"/>
  <c r="M44" i="1"/>
  <c r="N44" i="1" s="1"/>
  <c r="O44" i="1" s="1"/>
  <c r="M45" i="1"/>
  <c r="N45" i="1" s="1"/>
  <c r="O45" i="1" s="1"/>
  <c r="M46" i="1"/>
  <c r="N46" i="1" s="1"/>
  <c r="O46" i="1" s="1"/>
  <c r="M47" i="1"/>
  <c r="N47" i="1" s="1"/>
  <c r="O47" i="1" s="1"/>
  <c r="M48" i="1"/>
  <c r="N48" i="1" s="1"/>
  <c r="O48" i="1" s="1"/>
  <c r="M49" i="1"/>
  <c r="N49" i="1" s="1"/>
  <c r="O49" i="1" s="1"/>
  <c r="M50" i="1"/>
  <c r="N50" i="1" s="1"/>
  <c r="O50" i="1" s="1"/>
  <c r="M51" i="1"/>
  <c r="N51" i="1" s="1"/>
  <c r="O51" i="1" s="1"/>
  <c r="M52" i="1"/>
  <c r="N52" i="1" s="1"/>
  <c r="O52" i="1" s="1"/>
  <c r="M53" i="1"/>
  <c r="N53" i="1" s="1"/>
  <c r="O53" i="1" s="1"/>
  <c r="M54" i="1"/>
  <c r="N54" i="1" s="1"/>
  <c r="O54" i="1" s="1"/>
  <c r="M55" i="1"/>
  <c r="N55" i="1" s="1"/>
  <c r="O55" i="1" s="1"/>
  <c r="M56" i="1"/>
  <c r="N56" i="1" s="1"/>
  <c r="O56" i="1" s="1"/>
  <c r="M57" i="1"/>
  <c r="N57" i="1" s="1"/>
  <c r="O57" i="1" s="1"/>
  <c r="M58" i="1"/>
  <c r="N58" i="1" s="1"/>
  <c r="O58" i="1" s="1"/>
  <c r="M59" i="1"/>
  <c r="N59" i="1" s="1"/>
  <c r="O59" i="1" s="1"/>
  <c r="M60" i="1"/>
  <c r="N60" i="1" s="1"/>
  <c r="O60" i="1" s="1"/>
  <c r="M61" i="1"/>
  <c r="N61" i="1" s="1"/>
  <c r="O61" i="1" s="1"/>
  <c r="M62" i="1"/>
  <c r="N62" i="1" s="1"/>
  <c r="O62" i="1" s="1"/>
  <c r="M63" i="1"/>
  <c r="N63" i="1" s="1"/>
  <c r="O63" i="1" s="1"/>
  <c r="M64" i="1"/>
  <c r="N64" i="1" s="1"/>
  <c r="O64" i="1" s="1"/>
  <c r="M65" i="1"/>
  <c r="N65" i="1" s="1"/>
  <c r="O65" i="1" s="1"/>
  <c r="M66" i="1"/>
  <c r="N66" i="1" s="1"/>
  <c r="O66" i="1" s="1"/>
  <c r="M67" i="1"/>
  <c r="N67" i="1" s="1"/>
  <c r="O67" i="1" s="1"/>
  <c r="M68" i="1"/>
  <c r="N68" i="1" s="1"/>
  <c r="O68" i="1" s="1"/>
  <c r="M69" i="1"/>
  <c r="N69" i="1" s="1"/>
  <c r="O69" i="1" s="1"/>
  <c r="M70" i="1"/>
  <c r="N70" i="1" s="1"/>
  <c r="O70" i="1" s="1"/>
  <c r="M71" i="1"/>
  <c r="N71" i="1" s="1"/>
  <c r="O71" i="1" s="1"/>
  <c r="M72" i="1"/>
  <c r="N72" i="1" s="1"/>
  <c r="O72" i="1" s="1"/>
  <c r="M73" i="1"/>
  <c r="N73" i="1" s="1"/>
  <c r="O73" i="1" s="1"/>
  <c r="M74" i="1"/>
  <c r="N74" i="1" s="1"/>
  <c r="O74" i="1" s="1"/>
  <c r="M75" i="1"/>
  <c r="N75" i="1" s="1"/>
  <c r="O75" i="1" s="1"/>
  <c r="M76" i="1"/>
  <c r="N76" i="1" s="1"/>
  <c r="O76" i="1" s="1"/>
  <c r="M77" i="1"/>
  <c r="N77" i="1" s="1"/>
  <c r="O77" i="1" s="1"/>
  <c r="M78" i="1"/>
  <c r="N78" i="1" s="1"/>
  <c r="O78" i="1" s="1"/>
  <c r="M79" i="1"/>
  <c r="N79" i="1" s="1"/>
  <c r="O79" i="1" s="1"/>
  <c r="M80" i="1"/>
  <c r="N80" i="1" s="1"/>
  <c r="O80" i="1" s="1"/>
  <c r="M81" i="1"/>
  <c r="N81" i="1" s="1"/>
  <c r="O81" i="1" s="1"/>
  <c r="M82" i="1"/>
  <c r="N82" i="1" s="1"/>
  <c r="O82" i="1" s="1"/>
  <c r="M83" i="1"/>
  <c r="N83" i="1" s="1"/>
  <c r="O83" i="1" s="1"/>
  <c r="M84" i="1"/>
  <c r="N84" i="1" s="1"/>
  <c r="O84" i="1" s="1"/>
  <c r="M85" i="1"/>
  <c r="N85" i="1" s="1"/>
  <c r="O85" i="1" s="1"/>
  <c r="M86" i="1"/>
  <c r="N86" i="1" s="1"/>
  <c r="O86" i="1" s="1"/>
  <c r="M87" i="1"/>
  <c r="N87" i="1" s="1"/>
  <c r="O87" i="1" s="1"/>
  <c r="M88" i="1"/>
  <c r="N88" i="1" s="1"/>
  <c r="O88" i="1" s="1"/>
  <c r="M89" i="1"/>
  <c r="N89" i="1" s="1"/>
  <c r="O89" i="1" s="1"/>
  <c r="M90" i="1"/>
  <c r="N90" i="1" s="1"/>
  <c r="O90" i="1" s="1"/>
  <c r="M91" i="1"/>
  <c r="N91" i="1" s="1"/>
  <c r="O91" i="1" s="1"/>
  <c r="M92" i="1"/>
  <c r="N92" i="1" s="1"/>
  <c r="O92" i="1" s="1"/>
  <c r="M93" i="1"/>
  <c r="N93" i="1" s="1"/>
  <c r="O93" i="1" s="1"/>
  <c r="M94" i="1"/>
  <c r="N94" i="1" s="1"/>
  <c r="O94" i="1" s="1"/>
  <c r="M95" i="1"/>
  <c r="N95" i="1" s="1"/>
  <c r="O95" i="1" s="1"/>
  <c r="M96" i="1"/>
  <c r="N96" i="1" s="1"/>
  <c r="O96" i="1" s="1"/>
  <c r="M97" i="1"/>
  <c r="N97" i="1" s="1"/>
  <c r="O97" i="1" s="1"/>
  <c r="M98" i="1"/>
  <c r="N98" i="1" s="1"/>
  <c r="O98" i="1" s="1"/>
  <c r="M99" i="1"/>
  <c r="N99" i="1" s="1"/>
  <c r="O99" i="1" s="1"/>
  <c r="M100" i="1"/>
  <c r="N100" i="1" s="1"/>
  <c r="O100" i="1" s="1"/>
  <c r="M101" i="1"/>
  <c r="N101" i="1" s="1"/>
  <c r="O101" i="1" s="1"/>
  <c r="M102" i="1"/>
  <c r="N102" i="1" s="1"/>
  <c r="O102" i="1" s="1"/>
  <c r="M103" i="1"/>
  <c r="N103" i="1" s="1"/>
  <c r="O103" i="1" s="1"/>
  <c r="M104" i="1"/>
  <c r="N104" i="1" s="1"/>
  <c r="O104" i="1" s="1"/>
  <c r="M105" i="1"/>
  <c r="N105" i="1" s="1"/>
  <c r="O105" i="1" s="1"/>
  <c r="M106" i="1"/>
  <c r="N106" i="1" s="1"/>
  <c r="O106" i="1" s="1"/>
  <c r="M107" i="1"/>
  <c r="N107" i="1" s="1"/>
  <c r="O107" i="1" s="1"/>
  <c r="M108" i="1"/>
  <c r="N108" i="1" s="1"/>
  <c r="O108" i="1" s="1"/>
  <c r="M109" i="1"/>
  <c r="N109" i="1" s="1"/>
  <c r="O109" i="1" s="1"/>
  <c r="M110" i="1"/>
  <c r="N110" i="1" s="1"/>
  <c r="O110" i="1" s="1"/>
  <c r="M111" i="1"/>
  <c r="N111" i="1" s="1"/>
  <c r="O111" i="1" s="1"/>
  <c r="M112" i="1"/>
  <c r="N112" i="1" s="1"/>
  <c r="O112" i="1" s="1"/>
  <c r="M113" i="1"/>
  <c r="N113" i="1" s="1"/>
  <c r="O113" i="1" s="1"/>
  <c r="M114" i="1"/>
  <c r="N114" i="1" s="1"/>
  <c r="O114" i="1" s="1"/>
  <c r="M115" i="1"/>
  <c r="N115" i="1" s="1"/>
  <c r="O115" i="1" s="1"/>
  <c r="M116" i="1"/>
  <c r="N116" i="1" s="1"/>
  <c r="O116" i="1" s="1"/>
  <c r="M117" i="1"/>
  <c r="N117" i="1" s="1"/>
  <c r="O117" i="1" s="1"/>
  <c r="M118" i="1"/>
  <c r="N118" i="1" s="1"/>
  <c r="O118" i="1" s="1"/>
  <c r="M119" i="1"/>
  <c r="N119" i="1" s="1"/>
  <c r="O119" i="1" s="1"/>
  <c r="M120" i="1"/>
  <c r="N120" i="1" s="1"/>
  <c r="O120" i="1" s="1"/>
  <c r="M121" i="1"/>
  <c r="N121" i="1" s="1"/>
  <c r="O121" i="1" s="1"/>
  <c r="M122" i="1"/>
  <c r="N122" i="1" s="1"/>
  <c r="O122" i="1" s="1"/>
  <c r="M123" i="1"/>
  <c r="N123" i="1" s="1"/>
  <c r="O123" i="1" s="1"/>
  <c r="M124" i="1"/>
  <c r="N124" i="1" s="1"/>
  <c r="O124" i="1" s="1"/>
  <c r="M125" i="1"/>
  <c r="N125" i="1" s="1"/>
  <c r="O125" i="1" s="1"/>
  <c r="M126" i="1"/>
  <c r="N126" i="1" s="1"/>
  <c r="O126" i="1" s="1"/>
  <c r="M127" i="1"/>
  <c r="N127" i="1" s="1"/>
  <c r="O127" i="1" s="1"/>
  <c r="M128" i="1"/>
  <c r="N128" i="1" s="1"/>
  <c r="O128" i="1" s="1"/>
  <c r="M129" i="1"/>
  <c r="N129" i="1" s="1"/>
  <c r="O129" i="1" s="1"/>
  <c r="M130" i="1"/>
  <c r="N130" i="1" s="1"/>
  <c r="O130" i="1" s="1"/>
  <c r="M131" i="1"/>
  <c r="N131" i="1" s="1"/>
  <c r="O131" i="1" s="1"/>
  <c r="M132" i="1"/>
  <c r="N132" i="1" s="1"/>
  <c r="O132" i="1" s="1"/>
  <c r="M133" i="1"/>
  <c r="N133" i="1" s="1"/>
  <c r="O133" i="1" s="1"/>
  <c r="M134" i="1"/>
  <c r="N134" i="1" s="1"/>
  <c r="O134" i="1" s="1"/>
  <c r="M135" i="1"/>
  <c r="N135" i="1" s="1"/>
  <c r="O135" i="1" s="1"/>
  <c r="M136" i="1"/>
  <c r="N136" i="1" s="1"/>
  <c r="O136" i="1" s="1"/>
  <c r="M137" i="1"/>
  <c r="N137" i="1" s="1"/>
  <c r="O137" i="1" s="1"/>
  <c r="M138" i="1"/>
  <c r="N138" i="1" s="1"/>
  <c r="O138" i="1" s="1"/>
  <c r="M139" i="1"/>
  <c r="N139" i="1" s="1"/>
  <c r="O139" i="1" s="1"/>
  <c r="M140" i="1"/>
  <c r="N140" i="1" s="1"/>
  <c r="O140" i="1" s="1"/>
  <c r="M141" i="1"/>
  <c r="N141" i="1" s="1"/>
  <c r="O141" i="1" s="1"/>
  <c r="M142" i="1"/>
  <c r="N142" i="1" s="1"/>
  <c r="O142" i="1" s="1"/>
  <c r="M143" i="1"/>
  <c r="N143" i="1" s="1"/>
  <c r="O143" i="1" s="1"/>
  <c r="M144" i="1"/>
  <c r="N144" i="1" s="1"/>
  <c r="O144" i="1" s="1"/>
  <c r="M145" i="1"/>
  <c r="N145" i="1" s="1"/>
  <c r="O145" i="1" s="1"/>
  <c r="M146" i="1"/>
  <c r="N146" i="1" s="1"/>
  <c r="O146" i="1" s="1"/>
  <c r="M147" i="1"/>
  <c r="N147" i="1" s="1"/>
  <c r="O147" i="1" s="1"/>
  <c r="M148" i="1"/>
  <c r="N148" i="1" s="1"/>
  <c r="O148" i="1" s="1"/>
  <c r="M149" i="1"/>
  <c r="N149" i="1" s="1"/>
  <c r="O149" i="1" s="1"/>
  <c r="M150" i="1"/>
  <c r="N150" i="1" s="1"/>
  <c r="O150" i="1" s="1"/>
  <c r="M151" i="1"/>
  <c r="N151" i="1" s="1"/>
  <c r="O151" i="1" s="1"/>
  <c r="M152" i="1"/>
  <c r="N152" i="1" s="1"/>
  <c r="O152" i="1" s="1"/>
  <c r="M153" i="1"/>
  <c r="N153" i="1" s="1"/>
  <c r="O153" i="1" s="1"/>
  <c r="M154" i="1"/>
  <c r="N154" i="1" s="1"/>
  <c r="O154" i="1" s="1"/>
  <c r="M155" i="1"/>
  <c r="N155" i="1" s="1"/>
  <c r="O155" i="1" s="1"/>
  <c r="M156" i="1"/>
  <c r="N156" i="1" s="1"/>
  <c r="O156" i="1" s="1"/>
  <c r="M157" i="1"/>
  <c r="N157" i="1" s="1"/>
  <c r="O157" i="1" s="1"/>
  <c r="M158" i="1"/>
  <c r="N158" i="1" s="1"/>
  <c r="O158" i="1" s="1"/>
  <c r="M159" i="1"/>
  <c r="N159" i="1" s="1"/>
  <c r="O159" i="1" s="1"/>
  <c r="M160" i="1"/>
  <c r="N160" i="1" s="1"/>
  <c r="O160" i="1" s="1"/>
  <c r="M161" i="1"/>
  <c r="N161" i="1" s="1"/>
  <c r="O161" i="1" s="1"/>
  <c r="M162" i="1"/>
  <c r="N162" i="1" s="1"/>
  <c r="O162" i="1" s="1"/>
  <c r="M163" i="1"/>
  <c r="N163" i="1" s="1"/>
  <c r="O163" i="1" s="1"/>
  <c r="M164" i="1"/>
  <c r="N164" i="1" s="1"/>
  <c r="O164" i="1" s="1"/>
  <c r="M165" i="1"/>
  <c r="N165" i="1" s="1"/>
  <c r="O165" i="1" s="1"/>
  <c r="M166" i="1"/>
  <c r="N166" i="1" s="1"/>
  <c r="O166" i="1" s="1"/>
  <c r="M167" i="1"/>
  <c r="N167" i="1" s="1"/>
  <c r="O167" i="1" s="1"/>
  <c r="M168" i="1"/>
  <c r="N168" i="1" s="1"/>
  <c r="O168" i="1" s="1"/>
  <c r="M169" i="1"/>
  <c r="N169" i="1" s="1"/>
  <c r="O169" i="1" s="1"/>
  <c r="M170" i="1"/>
  <c r="N170" i="1" s="1"/>
  <c r="O170" i="1" s="1"/>
  <c r="M171" i="1"/>
  <c r="N171" i="1" s="1"/>
  <c r="O171" i="1" s="1"/>
  <c r="M172" i="1"/>
  <c r="N172" i="1" s="1"/>
  <c r="O172" i="1" s="1"/>
  <c r="M173" i="1"/>
  <c r="N173" i="1" s="1"/>
  <c r="O173" i="1" s="1"/>
  <c r="M174" i="1"/>
  <c r="N174" i="1" s="1"/>
  <c r="O174" i="1" s="1"/>
  <c r="M175" i="1"/>
  <c r="N175" i="1" s="1"/>
  <c r="O175" i="1" s="1"/>
  <c r="M176" i="1"/>
  <c r="N176" i="1" s="1"/>
  <c r="O176" i="1" s="1"/>
  <c r="M177" i="1"/>
  <c r="N177" i="1" s="1"/>
  <c r="O177" i="1" s="1"/>
  <c r="M178" i="1"/>
  <c r="N178" i="1" s="1"/>
  <c r="O178" i="1" s="1"/>
  <c r="M179" i="1"/>
  <c r="N179" i="1" s="1"/>
  <c r="O179" i="1" s="1"/>
  <c r="M180" i="1"/>
  <c r="N180" i="1" s="1"/>
  <c r="O180" i="1" s="1"/>
  <c r="M181" i="1"/>
  <c r="N181" i="1" s="1"/>
  <c r="O181" i="1" s="1"/>
  <c r="M182" i="1"/>
  <c r="N182" i="1" s="1"/>
  <c r="O182" i="1" s="1"/>
  <c r="M183" i="1"/>
  <c r="N183" i="1" s="1"/>
  <c r="O183" i="1" s="1"/>
  <c r="M184" i="1"/>
  <c r="N184" i="1" s="1"/>
  <c r="O184" i="1" s="1"/>
  <c r="M185" i="1"/>
  <c r="N185" i="1" s="1"/>
  <c r="O185" i="1" s="1"/>
  <c r="M186" i="1"/>
  <c r="N186" i="1" s="1"/>
  <c r="O186" i="1" s="1"/>
  <c r="M187" i="1"/>
  <c r="N187" i="1" s="1"/>
  <c r="O187" i="1" s="1"/>
  <c r="M188" i="1"/>
  <c r="N188" i="1" s="1"/>
  <c r="O188" i="1" s="1"/>
  <c r="M189" i="1"/>
  <c r="N189" i="1" s="1"/>
  <c r="O189" i="1" s="1"/>
  <c r="M190" i="1"/>
  <c r="N190" i="1" s="1"/>
  <c r="O190" i="1" s="1"/>
  <c r="M191" i="1"/>
  <c r="N191" i="1" s="1"/>
  <c r="O191" i="1" s="1"/>
  <c r="M192" i="1"/>
  <c r="N192" i="1" s="1"/>
  <c r="O192" i="1" s="1"/>
  <c r="M193" i="1"/>
  <c r="N193" i="1" s="1"/>
  <c r="O193" i="1" s="1"/>
  <c r="M194" i="1"/>
  <c r="N194" i="1" s="1"/>
  <c r="O194" i="1" s="1"/>
  <c r="M195" i="1"/>
  <c r="N195" i="1" s="1"/>
  <c r="O195" i="1" s="1"/>
  <c r="M196" i="1"/>
  <c r="N196" i="1" s="1"/>
  <c r="O196" i="1" s="1"/>
  <c r="M197" i="1"/>
  <c r="N197" i="1" s="1"/>
  <c r="O197" i="1" s="1"/>
  <c r="M198" i="1"/>
  <c r="N198" i="1" s="1"/>
  <c r="O198" i="1" s="1"/>
  <c r="M199" i="1"/>
  <c r="N199" i="1" s="1"/>
  <c r="O199" i="1" s="1"/>
  <c r="M200" i="1"/>
  <c r="N200" i="1" s="1"/>
  <c r="O200" i="1" s="1"/>
  <c r="M201" i="1"/>
  <c r="N201" i="1" s="1"/>
  <c r="O201" i="1" s="1"/>
  <c r="M202" i="1"/>
  <c r="N202" i="1" s="1"/>
  <c r="O202" i="1" s="1"/>
  <c r="M203" i="1"/>
  <c r="N203" i="1" s="1"/>
  <c r="O203" i="1" s="1"/>
  <c r="M204" i="1"/>
  <c r="N204" i="1" s="1"/>
  <c r="O204" i="1" s="1"/>
  <c r="M205" i="1"/>
  <c r="N205" i="1" s="1"/>
  <c r="O205" i="1" s="1"/>
  <c r="M206" i="1"/>
  <c r="N206" i="1" s="1"/>
  <c r="O206" i="1" s="1"/>
  <c r="M207" i="1"/>
  <c r="N207" i="1" s="1"/>
  <c r="O207" i="1" s="1"/>
  <c r="M208" i="1"/>
  <c r="N208" i="1" s="1"/>
  <c r="O208" i="1" s="1"/>
  <c r="M209" i="1"/>
  <c r="N209" i="1" s="1"/>
  <c r="O209" i="1" s="1"/>
  <c r="M210" i="1"/>
  <c r="N210" i="1" s="1"/>
  <c r="O210" i="1" s="1"/>
  <c r="M211" i="1"/>
  <c r="N211" i="1" s="1"/>
  <c r="O211" i="1" s="1"/>
  <c r="M212" i="1"/>
  <c r="N212" i="1" s="1"/>
  <c r="O212" i="1" s="1"/>
  <c r="M213" i="1"/>
  <c r="N213" i="1" s="1"/>
  <c r="O213" i="1" s="1"/>
  <c r="M214" i="1"/>
  <c r="N214" i="1" s="1"/>
  <c r="O214" i="1" s="1"/>
  <c r="M215" i="1"/>
  <c r="N215" i="1" s="1"/>
  <c r="O215" i="1" s="1"/>
  <c r="M216" i="1"/>
  <c r="N216" i="1" s="1"/>
  <c r="O216" i="1" s="1"/>
  <c r="M217" i="1"/>
  <c r="N217" i="1" s="1"/>
  <c r="O217" i="1" s="1"/>
  <c r="M218" i="1"/>
  <c r="N218" i="1" s="1"/>
  <c r="O218" i="1" s="1"/>
  <c r="M219" i="1"/>
  <c r="N219" i="1" s="1"/>
  <c r="O219" i="1" s="1"/>
  <c r="M220" i="1"/>
  <c r="N220" i="1" s="1"/>
  <c r="O220" i="1" s="1"/>
  <c r="M221" i="1"/>
  <c r="N221" i="1" s="1"/>
  <c r="O221" i="1" s="1"/>
  <c r="M222" i="1"/>
  <c r="N222" i="1" s="1"/>
  <c r="O222" i="1" s="1"/>
  <c r="M223" i="1"/>
  <c r="N223" i="1" s="1"/>
  <c r="O223" i="1" s="1"/>
  <c r="M224" i="1"/>
  <c r="N224" i="1" s="1"/>
  <c r="O224" i="1" s="1"/>
  <c r="M225" i="1"/>
  <c r="N225" i="1" s="1"/>
  <c r="O225" i="1" s="1"/>
  <c r="M226" i="1"/>
  <c r="N226" i="1" s="1"/>
  <c r="O226" i="1" s="1"/>
  <c r="M227" i="1"/>
  <c r="N227" i="1" s="1"/>
  <c r="O227" i="1" s="1"/>
  <c r="M228" i="1"/>
  <c r="N228" i="1" s="1"/>
  <c r="O228" i="1" s="1"/>
  <c r="M229" i="1"/>
  <c r="N229" i="1" s="1"/>
  <c r="O229" i="1" s="1"/>
  <c r="M230" i="1"/>
  <c r="N230" i="1" s="1"/>
  <c r="O230" i="1" s="1"/>
  <c r="M231" i="1"/>
  <c r="N231" i="1" s="1"/>
  <c r="O231" i="1" s="1"/>
  <c r="M232" i="1"/>
  <c r="N232" i="1" s="1"/>
  <c r="O232" i="1" s="1"/>
  <c r="M233" i="1"/>
  <c r="N233" i="1" s="1"/>
  <c r="O233" i="1" s="1"/>
  <c r="M234" i="1"/>
  <c r="N234" i="1" s="1"/>
  <c r="O234" i="1" s="1"/>
  <c r="M235" i="1"/>
  <c r="N235" i="1" s="1"/>
  <c r="O235" i="1" s="1"/>
  <c r="M236" i="1"/>
  <c r="N236" i="1" s="1"/>
  <c r="O236" i="1" s="1"/>
  <c r="M237" i="1"/>
  <c r="N237" i="1" s="1"/>
  <c r="O237" i="1" s="1"/>
  <c r="M238" i="1"/>
  <c r="N238" i="1" s="1"/>
  <c r="O238" i="1" s="1"/>
  <c r="M239" i="1"/>
  <c r="N239" i="1" s="1"/>
  <c r="O239" i="1" s="1"/>
  <c r="M240" i="1"/>
  <c r="N240" i="1" s="1"/>
  <c r="O240" i="1" s="1"/>
  <c r="M241" i="1"/>
  <c r="N241" i="1" s="1"/>
  <c r="O241" i="1" s="1"/>
  <c r="M242" i="1"/>
  <c r="N242" i="1" s="1"/>
  <c r="O242" i="1" s="1"/>
  <c r="M243" i="1"/>
  <c r="N243" i="1" s="1"/>
  <c r="O243" i="1" s="1"/>
  <c r="M244" i="1"/>
  <c r="N244" i="1" s="1"/>
  <c r="O244" i="1" s="1"/>
  <c r="M245" i="1"/>
  <c r="N245" i="1" s="1"/>
  <c r="O245" i="1" s="1"/>
  <c r="M246" i="1"/>
  <c r="N246" i="1" s="1"/>
  <c r="O246" i="1" s="1"/>
  <c r="M247" i="1"/>
  <c r="N247" i="1" s="1"/>
  <c r="O247" i="1" s="1"/>
  <c r="M248" i="1"/>
  <c r="N248" i="1" s="1"/>
  <c r="O248" i="1" s="1"/>
  <c r="M249" i="1"/>
  <c r="N249" i="1" s="1"/>
  <c r="O249" i="1" s="1"/>
  <c r="M250" i="1"/>
  <c r="N250" i="1" s="1"/>
  <c r="O250" i="1" s="1"/>
  <c r="M251" i="1"/>
  <c r="N251" i="1" s="1"/>
  <c r="O251" i="1" s="1"/>
  <c r="M252" i="1"/>
  <c r="N252" i="1" s="1"/>
  <c r="O252" i="1" s="1"/>
  <c r="M253" i="1"/>
  <c r="N253" i="1" s="1"/>
  <c r="O253" i="1" s="1"/>
  <c r="M254" i="1"/>
  <c r="N254" i="1" s="1"/>
  <c r="O254" i="1" s="1"/>
  <c r="M2" i="1"/>
  <c r="N2" i="1" s="1"/>
  <c r="O2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3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R3" i="1" l="1"/>
  <c r="B3" i="11"/>
  <c r="E3" i="11" s="1"/>
  <c r="H3" i="11" s="1"/>
  <c r="B4" i="11" s="1"/>
  <c r="E4" i="11" s="1"/>
  <c r="H4" i="11" s="1"/>
  <c r="I4" i="11" s="1"/>
  <c r="I2" i="11"/>
  <c r="I3" i="11"/>
  <c r="B4" i="10"/>
  <c r="B5" i="10" s="1"/>
  <c r="B7" i="10" s="1"/>
  <c r="B6" i="10" l="1"/>
</calcChain>
</file>

<file path=xl/sharedStrings.xml><?xml version="1.0" encoding="utf-8"?>
<sst xmlns="http://schemas.openxmlformats.org/spreadsheetml/2006/main" count="805" uniqueCount="301">
  <si>
    <t>ASX Code</t>
  </si>
  <si>
    <t>Company Name</t>
  </si>
  <si>
    <t>Date</t>
  </si>
  <si>
    <t>Open</t>
  </si>
  <si>
    <t>High</t>
  </si>
  <si>
    <t>Low</t>
  </si>
  <si>
    <t>Close</t>
  </si>
  <si>
    <t>Volume</t>
  </si>
  <si>
    <t>Market Capitalisation($m)</t>
  </si>
  <si>
    <t>Shares on Issue</t>
  </si>
  <si>
    <t>AEF</t>
  </si>
  <si>
    <t>Australian Ethical Investment Limited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</si>
  <si>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</si>
  <si>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</si>
  <si>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</si>
  <si>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</si>
  <si>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</si>
  <si>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</si>
  <si>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</si>
  <si>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</si>
  <si>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</si>
  <si>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</si>
  <si>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</si>
  <si>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</si>
  <si>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</si>
  <si>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</si>
  <si>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</si>
  <si>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</si>
  <si>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</si>
  <si>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</si>
  <si>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</si>
  <si>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</si>
  <si>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</si>
  <si>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</si>
  <si>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</si>
  <si>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</si>
  <si>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</si>
  <si>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</si>
  <si>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</si>
  <si>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</si>
  <si>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</si>
  <si>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</si>
  <si>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</si>
  <si>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</si>
  <si>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</si>
  <si>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</si>
  <si>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</si>
  <si>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</si>
  <si>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</si>
  <si>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</si>
  <si>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</si>
  <si>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</si>
  <si>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02/05/2025</t>
  </si>
  <si>
    <t>01/05/2025</t>
  </si>
  <si>
    <t>30/04/2025</t>
  </si>
  <si>
    <t>29/04/2025</t>
  </si>
  <si>
    <t>28/04/2025</t>
  </si>
  <si>
    <t>24/04/2025</t>
  </si>
  <si>
    <t>23/04/2025</t>
  </si>
  <si>
    <t>22/04/2025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</si>
  <si>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</si>
  <si>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</si>
  <si>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</si>
  <si>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</si>
  <si>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</si>
  <si>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</si>
  <si>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</si>
  <si>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</si>
  <si>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07/04/2025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</si>
  <si>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</si>
  <si>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</si>
  <si>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</si>
  <si>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</si>
  <si>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</si>
  <si>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</si>
  <si>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</si>
  <si>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</si>
  <si>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</si>
  <si>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</si>
  <si>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</si>
  <si>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</si>
  <si>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</si>
  <si>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</si>
  <si>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</si>
  <si>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</si>
  <si>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</si>
  <si>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</si>
  <si>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</si>
  <si>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</si>
  <si>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</si>
  <si>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</si>
  <si>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</si>
  <si>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</si>
  <si>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</si>
  <si>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</si>
  <si>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</si>
  <si>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</si>
  <si>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</si>
  <si>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</si>
  <si>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</si>
  <si>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</si>
  <si>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</si>
  <si>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</si>
  <si>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</si>
  <si>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</si>
  <si>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</si>
  <si>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</si>
  <si>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</si>
  <si>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</si>
  <si>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</si>
  <si>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</si>
  <si>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</si>
  <si>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</si>
  <si>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</si>
  <si>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</si>
  <si>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30/01/2025</t>
  </si>
  <si>
    <t>29/01/2025</t>
  </si>
  <si>
    <t>28/01/2025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</si>
  <si>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</si>
  <si>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</si>
  <si>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</si>
  <si>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</si>
  <si>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</si>
  <si>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</si>
  <si>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</si>
  <si>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</si>
  <si>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</si>
  <si>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</si>
  <si>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</si>
  <si>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</si>
  <si>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</si>
  <si>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</si>
  <si>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</si>
  <si>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</si>
  <si>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</si>
  <si>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</si>
  <si>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</si>
  <si>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</si>
  <si>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</si>
  <si>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</si>
  <si>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</si>
  <si>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</si>
  <si>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</si>
  <si>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</si>
  <si>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</si>
  <si>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</si>
  <si>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</si>
  <si>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</si>
  <si>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</si>
  <si>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</si>
  <si>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</si>
  <si>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</si>
  <si>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</si>
  <si>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</si>
  <si>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</si>
  <si>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</si>
  <si>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</si>
  <si>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</si>
  <si>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</si>
  <si>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</si>
  <si>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</si>
  <si>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</si>
  <si>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</si>
  <si>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</si>
  <si>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</si>
  <si>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</si>
  <si>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</si>
  <si>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</si>
  <si>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</si>
  <si>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</si>
  <si>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</si>
  <si>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</si>
  <si>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</si>
  <si>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</si>
  <si>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</si>
  <si>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</si>
  <si>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</si>
  <si>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</si>
  <si>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</si>
  <si>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</si>
  <si>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</si>
  <si>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</si>
  <si>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</si>
  <si>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</si>
  <si>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</si>
  <si>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</si>
  <si>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</si>
  <si>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</si>
  <si>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</si>
  <si>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</si>
  <si>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</si>
  <si>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</si>
  <si>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</si>
  <si>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</si>
  <si>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</si>
  <si>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</si>
  <si>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</si>
  <si>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</si>
  <si>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</si>
  <si>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</si>
  <si>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</si>
  <si>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</si>
  <si>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</si>
  <si>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</si>
  <si>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</si>
  <si>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</si>
  <si>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</si>
  <si>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</si>
  <si>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</si>
  <si>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</si>
  <si>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</si>
  <si>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</si>
  <si>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</si>
  <si>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</si>
  <si>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</si>
  <si>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</si>
  <si>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</si>
  <si>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</si>
  <si>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</si>
  <si>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</si>
  <si>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</si>
  <si>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</si>
  <si>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</si>
  <si>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</si>
  <si>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</si>
  <si>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</si>
  <si>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</si>
  <si>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</si>
  <si>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</si>
  <si>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</si>
  <si>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</si>
  <si>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</si>
  <si>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</si>
  <si>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</si>
  <si>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</si>
  <si>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</si>
  <si>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</si>
  <si>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</si>
  <si>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</si>
  <si>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</si>
  <si>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</si>
  <si>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</si>
  <si>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</si>
  <si>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</si>
  <si>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</si>
  <si>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</si>
  <si>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</si>
  <si>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</si>
  <si>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</si>
  <si>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</si>
  <si>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</si>
  <si>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</si>
  <si>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</si>
  <si>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</si>
  <si>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</si>
  <si>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</si>
  <si>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</si>
  <si>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</si>
  <si>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</si>
  <si>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</si>
  <si>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</si>
  <si>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</si>
  <si>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</si>
  <si>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</si>
  <si>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</si>
  <si>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Timeseries</t>
  </si>
  <si>
    <t>Yield (cumulative)</t>
  </si>
  <si>
    <t>Shares Purchased</t>
  </si>
  <si>
    <t>Portfolio Value</t>
  </si>
  <si>
    <t>Investment Profit/Loss</t>
  </si>
  <si>
    <t>Initial Fund</t>
  </si>
  <si>
    <t xml:space="preserve">Numbers of shares purchased </t>
  </si>
  <si>
    <t>Min close price</t>
  </si>
  <si>
    <t>Max close price</t>
  </si>
  <si>
    <t>Total portfolio value at sale</t>
  </si>
  <si>
    <t>Total profit</t>
  </si>
  <si>
    <t>MIN Close price</t>
  </si>
  <si>
    <t>MAX Close price</t>
  </si>
  <si>
    <t>Total profit (%)</t>
  </si>
  <si>
    <t>Trade 1</t>
  </si>
  <si>
    <t>Trade 2</t>
  </si>
  <si>
    <t>Trade 3</t>
  </si>
  <si>
    <t>Initial fund</t>
  </si>
  <si>
    <t>Buy date</t>
  </si>
  <si>
    <t>Buy price</t>
  </si>
  <si>
    <t>Shares purchased</t>
  </si>
  <si>
    <t>Sell date</t>
  </si>
  <si>
    <t>Sell price</t>
  </si>
  <si>
    <t>Fund value after trade</t>
  </si>
  <si>
    <t>Profit/Loss</t>
  </si>
  <si>
    <t>Final</t>
  </si>
  <si>
    <t>Daily spread</t>
  </si>
  <si>
    <t>AVG spread</t>
  </si>
  <si>
    <t>Month + year</t>
  </si>
  <si>
    <t>Close price (1st day)</t>
  </si>
  <si>
    <t>Close price (last day)</t>
  </si>
  <si>
    <t>Monthly return (%)</t>
  </si>
  <si>
    <t>Cumulative return (%)</t>
  </si>
  <si>
    <t>AVG</t>
  </si>
  <si>
    <t>Avg. Monthly Return (%)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</si>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</sst>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[$-F800]dddd\,\ mmmm\ dd\,\ yyyy"/>
    <numFmt numFmtId="166" formatCode="#,##0.0000"/>
    <numFmt numFmtId="173" formatCode="0.0000"/>
  </numFmts>
  <fonts count="22" x14ac:knownFonts="1">
    <font>
      <sz val="10"/>
      <name val="Arial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9897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64">
    <xf numFmtId="0" fontId="0" fillId="0" borderId="0" xfId="0"/>
    <xf numFmtId="164" fontId="18" fillId="33" borderId="0" xfId="0" applyNumberFormat="1" applyFont="1" applyFill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8" fillId="34" borderId="0" xfId="0" applyFont="1" applyFill="1" applyAlignment="1">
      <alignment horizontal="center"/>
    </xf>
    <xf numFmtId="49" fontId="18" fillId="33" borderId="0" xfId="0" applyNumberFormat="1" applyFont="1" applyFill="1" applyAlignment="1">
      <alignment horizontal="center"/>
    </xf>
    <xf numFmtId="49" fontId="0" fillId="0" borderId="0" xfId="0" applyNumberFormat="1"/>
    <xf numFmtId="165" fontId="0" fillId="0" borderId="0" xfId="0" applyNumberFormat="1" applyAlignment="1" applyProtection="1">
      <alignment horizontal="center"/>
      <protection locked="0"/>
    </xf>
    <xf numFmtId="165" fontId="18" fillId="33" borderId="0" xfId="0" applyNumberFormat="1" applyFont="1" applyFill="1" applyAlignment="1" applyProtection="1">
      <alignment horizontal="center"/>
      <protection locked="0"/>
    </xf>
    <xf numFmtId="44" fontId="18" fillId="33" borderId="0" xfId="42" applyFont="1" applyFill="1" applyAlignment="1">
      <alignment horizontal="center"/>
    </xf>
    <xf numFmtId="44" fontId="0" fillId="0" borderId="0" xfId="42" applyFont="1"/>
    <xf numFmtId="44" fontId="0" fillId="0" borderId="0" xfId="42" applyFont="1" applyAlignment="1">
      <alignment horizontal="right"/>
    </xf>
    <xf numFmtId="3" fontId="18" fillId="33" borderId="0" xfId="0" applyNumberFormat="1" applyFont="1" applyFill="1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right"/>
    </xf>
    <xf numFmtId="166" fontId="18" fillId="33" borderId="0" xfId="0" applyNumberFormat="1" applyFont="1" applyFill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right"/>
    </xf>
    <xf numFmtId="9" fontId="0" fillId="0" borderId="0" xfId="43" applyFont="1"/>
    <xf numFmtId="10" fontId="0" fillId="0" borderId="0" xfId="43" applyNumberFormat="1" applyFont="1"/>
    <xf numFmtId="9" fontId="20" fillId="34" borderId="0" xfId="43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2" fontId="20" fillId="34" borderId="0" xfId="0" applyNumberFormat="1" applyFont="1" applyFill="1" applyAlignment="1">
      <alignment horizontal="center"/>
    </xf>
    <xf numFmtId="2" fontId="0" fillId="0" borderId="0" xfId="0" applyNumberFormat="1"/>
    <xf numFmtId="44" fontId="20" fillId="34" borderId="0" xfId="42" applyFont="1" applyFill="1" applyAlignment="1">
      <alignment horizontal="center"/>
    </xf>
    <xf numFmtId="44" fontId="0" fillId="0" borderId="0" xfId="0" applyNumberFormat="1"/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right"/>
    </xf>
    <xf numFmtId="49" fontId="0" fillId="35" borderId="0" xfId="0" applyNumberFormat="1" applyFill="1"/>
    <xf numFmtId="165" fontId="0" fillId="35" borderId="0" xfId="0" applyNumberFormat="1" applyFill="1" applyAlignment="1" applyProtection="1">
      <alignment horizontal="center"/>
      <protection locked="0"/>
    </xf>
    <xf numFmtId="164" fontId="0" fillId="35" borderId="0" xfId="0" applyNumberFormat="1" applyFill="1"/>
    <xf numFmtId="166" fontId="0" fillId="35" borderId="0" xfId="0" applyNumberFormat="1" applyFill="1"/>
    <xf numFmtId="44" fontId="0" fillId="35" borderId="0" xfId="42" applyFont="1" applyFill="1"/>
    <xf numFmtId="3" fontId="0" fillId="35" borderId="0" xfId="0" applyNumberFormat="1" applyFill="1"/>
    <xf numFmtId="0" fontId="0" fillId="35" borderId="0" xfId="0" applyFill="1"/>
    <xf numFmtId="10" fontId="0" fillId="35" borderId="0" xfId="43" applyNumberFormat="1" applyFont="1" applyFill="1"/>
    <xf numFmtId="2" fontId="0" fillId="35" borderId="0" xfId="0" applyNumberFormat="1" applyFill="1"/>
    <xf numFmtId="49" fontId="0" fillId="36" borderId="0" xfId="0" applyNumberFormat="1" applyFill="1"/>
    <xf numFmtId="165" fontId="0" fillId="36" borderId="0" xfId="0" applyNumberFormat="1" applyFill="1" applyAlignment="1" applyProtection="1">
      <alignment horizontal="center"/>
      <protection locked="0"/>
    </xf>
    <xf numFmtId="164" fontId="0" fillId="36" borderId="0" xfId="0" applyNumberFormat="1" applyFill="1"/>
    <xf numFmtId="166" fontId="0" fillId="36" borderId="0" xfId="0" applyNumberFormat="1" applyFill="1"/>
    <xf numFmtId="44" fontId="0" fillId="36" borderId="0" xfId="42" applyFont="1" applyFill="1"/>
    <xf numFmtId="3" fontId="0" fillId="36" borderId="0" xfId="0" applyNumberFormat="1" applyFill="1"/>
    <xf numFmtId="0" fontId="0" fillId="36" borderId="0" xfId="0" applyFill="1"/>
    <xf numFmtId="10" fontId="0" fillId="36" borderId="0" xfId="43" applyNumberFormat="1" applyFont="1" applyFill="1"/>
    <xf numFmtId="2" fontId="0" fillId="36" borderId="0" xfId="0" applyNumberFormat="1" applyFill="1"/>
    <xf numFmtId="0" fontId="20" fillId="0" borderId="0" xfId="0" applyFont="1"/>
    <xf numFmtId="44" fontId="20" fillId="0" borderId="0" xfId="42" applyFont="1"/>
    <xf numFmtId="2" fontId="20" fillId="0" borderId="0" xfId="0" applyNumberFormat="1" applyFont="1"/>
    <xf numFmtId="44" fontId="20" fillId="0" borderId="0" xfId="0" applyNumberFormat="1" applyFont="1"/>
    <xf numFmtId="0" fontId="20" fillId="36" borderId="0" xfId="0" applyFont="1" applyFill="1"/>
    <xf numFmtId="44" fontId="20" fillId="36" borderId="0" xfId="0" applyNumberFormat="1" applyFont="1" applyFill="1"/>
    <xf numFmtId="44" fontId="20" fillId="0" borderId="0" xfId="42" applyFont="1" applyAlignment="1">
      <alignment horizontal="center"/>
    </xf>
    <xf numFmtId="10" fontId="20" fillId="0" borderId="0" xfId="43" applyNumberFormat="1" applyFont="1"/>
    <xf numFmtId="10" fontId="20" fillId="36" borderId="0" xfId="43" applyNumberFormat="1" applyFont="1" applyFill="1"/>
    <xf numFmtId="14" fontId="0" fillId="0" borderId="0" xfId="0" applyNumberFormat="1"/>
    <xf numFmtId="2" fontId="0" fillId="0" borderId="0" xfId="42" applyNumberFormat="1" applyFont="1"/>
    <xf numFmtId="0" fontId="20" fillId="34" borderId="0" xfId="0" applyFont="1" applyFill="1"/>
    <xf numFmtId="17" fontId="0" fillId="0" borderId="0" xfId="0" applyNumberFormat="1"/>
    <xf numFmtId="10" fontId="20" fillId="34" borderId="0" xfId="43" applyNumberFormat="1" applyFont="1" applyFill="1"/>
    <xf numFmtId="10" fontId="20" fillId="0" borderId="0" xfId="43" applyNumberFormat="1" applyFont="1" applyAlignment="1">
      <alignment horizontal="center"/>
    </xf>
    <xf numFmtId="10" fontId="19" fillId="0" borderId="0" xfId="43" applyNumberFormat="1" applyFont="1" applyAlignment="1">
      <alignment horizontal="center"/>
    </xf>
    <xf numFmtId="173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78206E"/>
      <color rgb="FFFF0000"/>
      <color rgb="FFF98975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>
                <a:solidFill>
                  <a:schemeClr val="bg2">
                    <a:lumMod val="50000"/>
                  </a:schemeClr>
                </a:solidFill>
              </a:rPr>
              <a:t>Stock close price vs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'AEF-keep'!$H$1</c:f>
              <c:strCache>
                <c:ptCount val="1"/>
                <c:pt idx="0">
                  <c:v>Volume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Pt>
            <c:idx val="5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BF5-0143-9210-8CBEEAADAD1A}"/>
              </c:ext>
            </c:extLst>
          </c:dPt>
          <c:dPt>
            <c:idx val="7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BF5-0143-9210-8CBEEAADAD1A}"/>
              </c:ext>
            </c:extLst>
          </c:dPt>
          <c:dPt>
            <c:idx val="8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BF5-0143-9210-8CBEEAADAD1A}"/>
              </c:ext>
            </c:extLst>
          </c:dPt>
          <c:dPt>
            <c:idx val="112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BF5-0143-9210-8CBEEAADAD1A}"/>
              </c:ext>
            </c:extLst>
          </c:dPt>
          <c:dPt>
            <c:idx val="169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BF5-0143-9210-8CBEEAADAD1A}"/>
              </c:ext>
            </c:extLst>
          </c:dPt>
          <c:dPt>
            <c:idx val="24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BF5-0143-9210-8CBEEAADAD1A}"/>
              </c:ext>
            </c:extLst>
          </c:dPt>
          <c:trendline>
            <c:spPr>
              <a:ln w="38100" cap="rnd">
                <a:solidFill>
                  <a:schemeClr val="accent5">
                    <a:lumMod val="75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4582089879823698E-2"/>
                  <c:y val="0.1408687162502427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baseline="0">
                        <a:solidFill>
                          <a:srgbClr val="78206E"/>
                        </a:solidFill>
                      </a:rPr>
                      <a:t>y = 26705x - 8297.1</a:t>
                    </a:r>
                    <a:br>
                      <a:rPr lang="en-US" sz="1400" b="1" baseline="0">
                        <a:solidFill>
                          <a:srgbClr val="78206E"/>
                        </a:solidFill>
                      </a:rPr>
                    </a:br>
                    <a:r>
                      <a:rPr lang="en-US" sz="1400" b="1" baseline="0">
                        <a:solidFill>
                          <a:srgbClr val="78206E"/>
                        </a:solidFill>
                      </a:rPr>
                      <a:t>R² = 0.0401</a:t>
                    </a:r>
                    <a:endParaRPr lang="en-US" sz="1400" b="1">
                      <a:solidFill>
                        <a:srgbClr val="78206E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'AEF-keep'!$G$2:$G$254</c:f>
              <c:numCache>
                <c:formatCode>"$"#,##0.00</c:formatCode>
                <c:ptCount val="253"/>
                <c:pt idx="0">
                  <c:v>4.3</c:v>
                </c:pt>
                <c:pt idx="1">
                  <c:v>4.32</c:v>
                </c:pt>
                <c:pt idx="2">
                  <c:v>4.18</c:v>
                </c:pt>
                <c:pt idx="3">
                  <c:v>4.3</c:v>
                </c:pt>
                <c:pt idx="4">
                  <c:v>4.22</c:v>
                </c:pt>
                <c:pt idx="5">
                  <c:v>4.25</c:v>
                </c:pt>
                <c:pt idx="6">
                  <c:v>4</c:v>
                </c:pt>
                <c:pt idx="7">
                  <c:v>4.1399999999999997</c:v>
                </c:pt>
                <c:pt idx="8">
                  <c:v>4.1399999999999997</c:v>
                </c:pt>
                <c:pt idx="9">
                  <c:v>4.1100000000000003</c:v>
                </c:pt>
                <c:pt idx="10">
                  <c:v>4.0599999999999996</c:v>
                </c:pt>
                <c:pt idx="11">
                  <c:v>4.21</c:v>
                </c:pt>
                <c:pt idx="12">
                  <c:v>4.2699999999999996</c:v>
                </c:pt>
                <c:pt idx="13">
                  <c:v>4.22</c:v>
                </c:pt>
                <c:pt idx="14">
                  <c:v>4.1399999999999997</c:v>
                </c:pt>
                <c:pt idx="15">
                  <c:v>4.1100000000000003</c:v>
                </c:pt>
                <c:pt idx="16">
                  <c:v>4.05</c:v>
                </c:pt>
                <c:pt idx="17">
                  <c:v>4.1399999999999997</c:v>
                </c:pt>
                <c:pt idx="18">
                  <c:v>4.0599999999999996</c:v>
                </c:pt>
                <c:pt idx="19">
                  <c:v>4.03</c:v>
                </c:pt>
                <c:pt idx="20">
                  <c:v>3.97</c:v>
                </c:pt>
                <c:pt idx="21">
                  <c:v>3.89</c:v>
                </c:pt>
                <c:pt idx="22">
                  <c:v>3.98</c:v>
                </c:pt>
                <c:pt idx="23">
                  <c:v>4.1100000000000003</c:v>
                </c:pt>
                <c:pt idx="24">
                  <c:v>3.85</c:v>
                </c:pt>
                <c:pt idx="25">
                  <c:v>3.8</c:v>
                </c:pt>
                <c:pt idx="26">
                  <c:v>3.95</c:v>
                </c:pt>
                <c:pt idx="27">
                  <c:v>3.8</c:v>
                </c:pt>
                <c:pt idx="28">
                  <c:v>3.8</c:v>
                </c:pt>
                <c:pt idx="29">
                  <c:v>3.95</c:v>
                </c:pt>
                <c:pt idx="30">
                  <c:v>3.86</c:v>
                </c:pt>
                <c:pt idx="31">
                  <c:v>3.81</c:v>
                </c:pt>
                <c:pt idx="32">
                  <c:v>3.77</c:v>
                </c:pt>
                <c:pt idx="33">
                  <c:v>3.85</c:v>
                </c:pt>
                <c:pt idx="34">
                  <c:v>3.97</c:v>
                </c:pt>
                <c:pt idx="35">
                  <c:v>3.93</c:v>
                </c:pt>
                <c:pt idx="36">
                  <c:v>4.0199999999999996</c:v>
                </c:pt>
                <c:pt idx="37">
                  <c:v>4.0199999999999996</c:v>
                </c:pt>
                <c:pt idx="38">
                  <c:v>4.0999999999999996</c:v>
                </c:pt>
                <c:pt idx="39">
                  <c:v>3.98</c:v>
                </c:pt>
                <c:pt idx="40">
                  <c:v>3.96</c:v>
                </c:pt>
                <c:pt idx="41">
                  <c:v>3.88</c:v>
                </c:pt>
                <c:pt idx="42">
                  <c:v>3.85</c:v>
                </c:pt>
                <c:pt idx="43">
                  <c:v>4.09</c:v>
                </c:pt>
                <c:pt idx="44">
                  <c:v>4.1500000000000004</c:v>
                </c:pt>
                <c:pt idx="45">
                  <c:v>4.0999999999999996</c:v>
                </c:pt>
                <c:pt idx="46">
                  <c:v>4</c:v>
                </c:pt>
                <c:pt idx="47">
                  <c:v>3.88</c:v>
                </c:pt>
                <c:pt idx="48">
                  <c:v>3.96</c:v>
                </c:pt>
                <c:pt idx="49">
                  <c:v>3.86</c:v>
                </c:pt>
                <c:pt idx="50">
                  <c:v>3.97</c:v>
                </c:pt>
                <c:pt idx="51">
                  <c:v>3.96</c:v>
                </c:pt>
                <c:pt idx="52">
                  <c:v>4.16</c:v>
                </c:pt>
                <c:pt idx="53">
                  <c:v>4.1900000000000004</c:v>
                </c:pt>
                <c:pt idx="54">
                  <c:v>4.3899999999999997</c:v>
                </c:pt>
                <c:pt idx="55">
                  <c:v>4.3</c:v>
                </c:pt>
                <c:pt idx="56">
                  <c:v>4.2</c:v>
                </c:pt>
                <c:pt idx="57">
                  <c:v>4.26</c:v>
                </c:pt>
                <c:pt idx="58">
                  <c:v>4.29</c:v>
                </c:pt>
                <c:pt idx="59">
                  <c:v>4.25</c:v>
                </c:pt>
                <c:pt idx="60">
                  <c:v>4.29</c:v>
                </c:pt>
                <c:pt idx="61">
                  <c:v>4.38</c:v>
                </c:pt>
                <c:pt idx="62">
                  <c:v>4.26</c:v>
                </c:pt>
                <c:pt idx="63">
                  <c:v>4.22</c:v>
                </c:pt>
                <c:pt idx="64">
                  <c:v>4.32</c:v>
                </c:pt>
                <c:pt idx="65">
                  <c:v>4.37</c:v>
                </c:pt>
                <c:pt idx="66">
                  <c:v>4.46</c:v>
                </c:pt>
                <c:pt idx="67">
                  <c:v>4.3</c:v>
                </c:pt>
                <c:pt idx="68">
                  <c:v>4.2699999999999996</c:v>
                </c:pt>
                <c:pt idx="69">
                  <c:v>4.32</c:v>
                </c:pt>
                <c:pt idx="70">
                  <c:v>4.4000000000000004</c:v>
                </c:pt>
                <c:pt idx="71">
                  <c:v>4.28</c:v>
                </c:pt>
                <c:pt idx="72">
                  <c:v>4.33</c:v>
                </c:pt>
                <c:pt idx="73">
                  <c:v>4.34</c:v>
                </c:pt>
                <c:pt idx="74">
                  <c:v>4.28</c:v>
                </c:pt>
                <c:pt idx="75">
                  <c:v>4.32</c:v>
                </c:pt>
                <c:pt idx="76">
                  <c:v>4.22</c:v>
                </c:pt>
                <c:pt idx="77">
                  <c:v>4.07</c:v>
                </c:pt>
                <c:pt idx="78">
                  <c:v>4.1500000000000004</c:v>
                </c:pt>
                <c:pt idx="79">
                  <c:v>4.18</c:v>
                </c:pt>
                <c:pt idx="80">
                  <c:v>4.1900000000000004</c:v>
                </c:pt>
                <c:pt idx="81">
                  <c:v>4.13</c:v>
                </c:pt>
                <c:pt idx="82">
                  <c:v>4.09</c:v>
                </c:pt>
                <c:pt idx="83">
                  <c:v>4.04</c:v>
                </c:pt>
                <c:pt idx="84">
                  <c:v>4.04</c:v>
                </c:pt>
                <c:pt idx="85">
                  <c:v>4.1500000000000004</c:v>
                </c:pt>
                <c:pt idx="86">
                  <c:v>4.26</c:v>
                </c:pt>
                <c:pt idx="87">
                  <c:v>4.45</c:v>
                </c:pt>
                <c:pt idx="88">
                  <c:v>4.5</c:v>
                </c:pt>
                <c:pt idx="89">
                  <c:v>4.4000000000000004</c:v>
                </c:pt>
                <c:pt idx="90">
                  <c:v>4.34</c:v>
                </c:pt>
                <c:pt idx="91">
                  <c:v>4.3</c:v>
                </c:pt>
                <c:pt idx="92">
                  <c:v>4.42</c:v>
                </c:pt>
                <c:pt idx="93">
                  <c:v>4.5199999999999996</c:v>
                </c:pt>
                <c:pt idx="94">
                  <c:v>4.5199999999999996</c:v>
                </c:pt>
                <c:pt idx="95">
                  <c:v>4.62</c:v>
                </c:pt>
                <c:pt idx="96">
                  <c:v>4.53</c:v>
                </c:pt>
                <c:pt idx="97">
                  <c:v>4.5199999999999996</c:v>
                </c:pt>
                <c:pt idx="98">
                  <c:v>4.55</c:v>
                </c:pt>
                <c:pt idx="99">
                  <c:v>4.75</c:v>
                </c:pt>
                <c:pt idx="100">
                  <c:v>4.83</c:v>
                </c:pt>
                <c:pt idx="101">
                  <c:v>5.07</c:v>
                </c:pt>
                <c:pt idx="102">
                  <c:v>5.0999999999999996</c:v>
                </c:pt>
                <c:pt idx="103">
                  <c:v>4.92</c:v>
                </c:pt>
                <c:pt idx="104">
                  <c:v>4.8499999999999996</c:v>
                </c:pt>
                <c:pt idx="105">
                  <c:v>4.78</c:v>
                </c:pt>
                <c:pt idx="106">
                  <c:v>4.8</c:v>
                </c:pt>
                <c:pt idx="107">
                  <c:v>4.9800000000000004</c:v>
                </c:pt>
                <c:pt idx="108">
                  <c:v>5.01</c:v>
                </c:pt>
                <c:pt idx="109">
                  <c:v>5.05</c:v>
                </c:pt>
                <c:pt idx="110">
                  <c:v>5</c:v>
                </c:pt>
                <c:pt idx="111">
                  <c:v>5.3</c:v>
                </c:pt>
                <c:pt idx="112">
                  <c:v>5.45</c:v>
                </c:pt>
                <c:pt idx="113">
                  <c:v>5.57</c:v>
                </c:pt>
                <c:pt idx="114">
                  <c:v>5.6</c:v>
                </c:pt>
                <c:pt idx="115">
                  <c:v>5.68</c:v>
                </c:pt>
                <c:pt idx="116">
                  <c:v>5.55</c:v>
                </c:pt>
                <c:pt idx="117">
                  <c:v>5.58</c:v>
                </c:pt>
                <c:pt idx="118">
                  <c:v>5.69</c:v>
                </c:pt>
                <c:pt idx="119">
                  <c:v>5.58</c:v>
                </c:pt>
                <c:pt idx="120">
                  <c:v>5.44</c:v>
                </c:pt>
                <c:pt idx="121">
                  <c:v>5.41</c:v>
                </c:pt>
                <c:pt idx="122">
                  <c:v>5.37</c:v>
                </c:pt>
                <c:pt idx="123">
                  <c:v>5.21</c:v>
                </c:pt>
                <c:pt idx="124">
                  <c:v>5.37</c:v>
                </c:pt>
                <c:pt idx="125">
                  <c:v>5.29</c:v>
                </c:pt>
                <c:pt idx="126">
                  <c:v>5.34</c:v>
                </c:pt>
                <c:pt idx="127">
                  <c:v>5.27</c:v>
                </c:pt>
                <c:pt idx="128">
                  <c:v>5.37</c:v>
                </c:pt>
                <c:pt idx="129">
                  <c:v>5.38</c:v>
                </c:pt>
                <c:pt idx="130">
                  <c:v>5.2</c:v>
                </c:pt>
                <c:pt idx="131">
                  <c:v>5.22</c:v>
                </c:pt>
                <c:pt idx="132">
                  <c:v>5.15</c:v>
                </c:pt>
                <c:pt idx="133">
                  <c:v>5.27</c:v>
                </c:pt>
                <c:pt idx="134">
                  <c:v>5.3</c:v>
                </c:pt>
                <c:pt idx="135">
                  <c:v>5.31</c:v>
                </c:pt>
                <c:pt idx="136">
                  <c:v>5.36</c:v>
                </c:pt>
                <c:pt idx="137">
                  <c:v>5.29</c:v>
                </c:pt>
                <c:pt idx="138">
                  <c:v>5.25</c:v>
                </c:pt>
                <c:pt idx="139">
                  <c:v>5.12</c:v>
                </c:pt>
                <c:pt idx="140">
                  <c:v>5.22</c:v>
                </c:pt>
                <c:pt idx="141">
                  <c:v>5.3</c:v>
                </c:pt>
                <c:pt idx="142">
                  <c:v>5.0999999999999996</c:v>
                </c:pt>
                <c:pt idx="143">
                  <c:v>5.0999999999999996</c:v>
                </c:pt>
                <c:pt idx="144">
                  <c:v>5.09</c:v>
                </c:pt>
                <c:pt idx="145">
                  <c:v>4.95</c:v>
                </c:pt>
                <c:pt idx="146">
                  <c:v>5.05</c:v>
                </c:pt>
                <c:pt idx="147">
                  <c:v>4.96</c:v>
                </c:pt>
                <c:pt idx="148">
                  <c:v>4.92</c:v>
                </c:pt>
                <c:pt idx="149">
                  <c:v>4.9400000000000004</c:v>
                </c:pt>
                <c:pt idx="150">
                  <c:v>4.99</c:v>
                </c:pt>
                <c:pt idx="151">
                  <c:v>4.8499999999999996</c:v>
                </c:pt>
                <c:pt idx="152">
                  <c:v>4.83</c:v>
                </c:pt>
                <c:pt idx="153">
                  <c:v>4.76</c:v>
                </c:pt>
                <c:pt idx="154">
                  <c:v>4.7300000000000004</c:v>
                </c:pt>
                <c:pt idx="155">
                  <c:v>4.97</c:v>
                </c:pt>
                <c:pt idx="156">
                  <c:v>4.9800000000000004</c:v>
                </c:pt>
                <c:pt idx="157">
                  <c:v>4.99</c:v>
                </c:pt>
                <c:pt idx="158">
                  <c:v>4.87</c:v>
                </c:pt>
                <c:pt idx="159">
                  <c:v>4.9000000000000004</c:v>
                </c:pt>
                <c:pt idx="160">
                  <c:v>4.96</c:v>
                </c:pt>
                <c:pt idx="161">
                  <c:v>5.05</c:v>
                </c:pt>
                <c:pt idx="162">
                  <c:v>4.9000000000000004</c:v>
                </c:pt>
                <c:pt idx="163">
                  <c:v>5.08</c:v>
                </c:pt>
                <c:pt idx="164">
                  <c:v>5.29</c:v>
                </c:pt>
                <c:pt idx="165">
                  <c:v>5.29</c:v>
                </c:pt>
                <c:pt idx="166">
                  <c:v>5.21</c:v>
                </c:pt>
                <c:pt idx="167">
                  <c:v>5.15</c:v>
                </c:pt>
                <c:pt idx="168">
                  <c:v>5.07</c:v>
                </c:pt>
                <c:pt idx="169">
                  <c:v>6.2</c:v>
                </c:pt>
                <c:pt idx="170">
                  <c:v>6.23</c:v>
                </c:pt>
                <c:pt idx="171">
                  <c:v>6.46</c:v>
                </c:pt>
                <c:pt idx="172">
                  <c:v>6.43</c:v>
                </c:pt>
                <c:pt idx="173">
                  <c:v>6.02</c:v>
                </c:pt>
                <c:pt idx="174">
                  <c:v>6.02</c:v>
                </c:pt>
                <c:pt idx="175">
                  <c:v>5.69</c:v>
                </c:pt>
                <c:pt idx="176">
                  <c:v>5.64</c:v>
                </c:pt>
                <c:pt idx="177">
                  <c:v>5.27</c:v>
                </c:pt>
                <c:pt idx="178">
                  <c:v>5.43</c:v>
                </c:pt>
                <c:pt idx="179">
                  <c:v>5.6</c:v>
                </c:pt>
                <c:pt idx="180">
                  <c:v>5.61</c:v>
                </c:pt>
                <c:pt idx="181">
                  <c:v>5.65</c:v>
                </c:pt>
                <c:pt idx="182">
                  <c:v>5.55</c:v>
                </c:pt>
                <c:pt idx="183">
                  <c:v>5.68</c:v>
                </c:pt>
                <c:pt idx="184">
                  <c:v>5.9</c:v>
                </c:pt>
                <c:pt idx="185">
                  <c:v>5.81</c:v>
                </c:pt>
                <c:pt idx="186">
                  <c:v>5.77</c:v>
                </c:pt>
                <c:pt idx="187">
                  <c:v>5.89</c:v>
                </c:pt>
                <c:pt idx="188">
                  <c:v>5.89</c:v>
                </c:pt>
                <c:pt idx="189">
                  <c:v>5.83</c:v>
                </c:pt>
                <c:pt idx="190">
                  <c:v>5.95</c:v>
                </c:pt>
                <c:pt idx="191">
                  <c:v>5.9</c:v>
                </c:pt>
                <c:pt idx="192">
                  <c:v>5.92</c:v>
                </c:pt>
                <c:pt idx="193">
                  <c:v>5.84</c:v>
                </c:pt>
                <c:pt idx="194">
                  <c:v>5.62</c:v>
                </c:pt>
                <c:pt idx="195">
                  <c:v>5.59</c:v>
                </c:pt>
                <c:pt idx="196">
                  <c:v>5.15</c:v>
                </c:pt>
                <c:pt idx="197">
                  <c:v>5.1100000000000003</c:v>
                </c:pt>
                <c:pt idx="198">
                  <c:v>4.9800000000000004</c:v>
                </c:pt>
                <c:pt idx="199">
                  <c:v>5.3</c:v>
                </c:pt>
                <c:pt idx="200">
                  <c:v>5.27</c:v>
                </c:pt>
                <c:pt idx="201">
                  <c:v>5.16</c:v>
                </c:pt>
                <c:pt idx="202">
                  <c:v>5.0599999999999996</c:v>
                </c:pt>
                <c:pt idx="203">
                  <c:v>4.97</c:v>
                </c:pt>
                <c:pt idx="204">
                  <c:v>5.01</c:v>
                </c:pt>
                <c:pt idx="205">
                  <c:v>5</c:v>
                </c:pt>
                <c:pt idx="206">
                  <c:v>5.25</c:v>
                </c:pt>
                <c:pt idx="207">
                  <c:v>5.25</c:v>
                </c:pt>
                <c:pt idx="208">
                  <c:v>5.13</c:v>
                </c:pt>
                <c:pt idx="209">
                  <c:v>5.28</c:v>
                </c:pt>
                <c:pt idx="210">
                  <c:v>5.2</c:v>
                </c:pt>
                <c:pt idx="211">
                  <c:v>5.26</c:v>
                </c:pt>
                <c:pt idx="212">
                  <c:v>5.3</c:v>
                </c:pt>
                <c:pt idx="213">
                  <c:v>5.16</c:v>
                </c:pt>
                <c:pt idx="214">
                  <c:v>5.23</c:v>
                </c:pt>
                <c:pt idx="215">
                  <c:v>5.51</c:v>
                </c:pt>
                <c:pt idx="216">
                  <c:v>5.52</c:v>
                </c:pt>
                <c:pt idx="217">
                  <c:v>5.68</c:v>
                </c:pt>
                <c:pt idx="218">
                  <c:v>5.87</c:v>
                </c:pt>
                <c:pt idx="219">
                  <c:v>6.04</c:v>
                </c:pt>
                <c:pt idx="220">
                  <c:v>6.15</c:v>
                </c:pt>
                <c:pt idx="221">
                  <c:v>6.21</c:v>
                </c:pt>
                <c:pt idx="222">
                  <c:v>6.05</c:v>
                </c:pt>
                <c:pt idx="223">
                  <c:v>5.9</c:v>
                </c:pt>
                <c:pt idx="224">
                  <c:v>6</c:v>
                </c:pt>
                <c:pt idx="225">
                  <c:v>6.04</c:v>
                </c:pt>
                <c:pt idx="226">
                  <c:v>6.03</c:v>
                </c:pt>
                <c:pt idx="227">
                  <c:v>5.85</c:v>
                </c:pt>
                <c:pt idx="228">
                  <c:v>5.88</c:v>
                </c:pt>
                <c:pt idx="229">
                  <c:v>5.86</c:v>
                </c:pt>
                <c:pt idx="230">
                  <c:v>5.82</c:v>
                </c:pt>
                <c:pt idx="231">
                  <c:v>5.8</c:v>
                </c:pt>
                <c:pt idx="232">
                  <c:v>5.9</c:v>
                </c:pt>
                <c:pt idx="233">
                  <c:v>6</c:v>
                </c:pt>
                <c:pt idx="234">
                  <c:v>6.1</c:v>
                </c:pt>
                <c:pt idx="235">
                  <c:v>6.22</c:v>
                </c:pt>
                <c:pt idx="236">
                  <c:v>6.14</c:v>
                </c:pt>
                <c:pt idx="237">
                  <c:v>6.03</c:v>
                </c:pt>
                <c:pt idx="238">
                  <c:v>6.07</c:v>
                </c:pt>
                <c:pt idx="239">
                  <c:v>5.86</c:v>
                </c:pt>
                <c:pt idx="240">
                  <c:v>6.06</c:v>
                </c:pt>
                <c:pt idx="241">
                  <c:v>6.13</c:v>
                </c:pt>
                <c:pt idx="242">
                  <c:v>6.06</c:v>
                </c:pt>
                <c:pt idx="243">
                  <c:v>6.01</c:v>
                </c:pt>
                <c:pt idx="244">
                  <c:v>5.99</c:v>
                </c:pt>
                <c:pt idx="245">
                  <c:v>6.1</c:v>
                </c:pt>
                <c:pt idx="246">
                  <c:v>6.06</c:v>
                </c:pt>
                <c:pt idx="247">
                  <c:v>6.16</c:v>
                </c:pt>
                <c:pt idx="248">
                  <c:v>6.01</c:v>
                </c:pt>
                <c:pt idx="249">
                  <c:v>6.16</c:v>
                </c:pt>
                <c:pt idx="250">
                  <c:v>6.28</c:v>
                </c:pt>
                <c:pt idx="251">
                  <c:v>6.19</c:v>
                </c:pt>
                <c:pt idx="252">
                  <c:v>6.39</c:v>
                </c:pt>
              </c:numCache>
            </c:numRef>
          </c:xVal>
          <c:yVal>
            <c:numRef>
              <c:f>'AEF-keep'!$H$2:$H$254</c:f>
              <c:numCache>
                <c:formatCode>#,##0.0000</c:formatCode>
                <c:ptCount val="253"/>
                <c:pt idx="0">
                  <c:v>62878</c:v>
                </c:pt>
                <c:pt idx="1">
                  <c:v>74525</c:v>
                </c:pt>
                <c:pt idx="2">
                  <c:v>83095</c:v>
                </c:pt>
                <c:pt idx="3">
                  <c:v>95144</c:v>
                </c:pt>
                <c:pt idx="4">
                  <c:v>167937</c:v>
                </c:pt>
                <c:pt idx="5">
                  <c:v>99526</c:v>
                </c:pt>
                <c:pt idx="6">
                  <c:v>145389</c:v>
                </c:pt>
                <c:pt idx="7">
                  <c:v>148273</c:v>
                </c:pt>
                <c:pt idx="8">
                  <c:v>235468</c:v>
                </c:pt>
                <c:pt idx="9">
                  <c:v>88370</c:v>
                </c:pt>
                <c:pt idx="10">
                  <c:v>121858</c:v>
                </c:pt>
                <c:pt idx="11">
                  <c:v>82940</c:v>
                </c:pt>
                <c:pt idx="12">
                  <c:v>59114</c:v>
                </c:pt>
                <c:pt idx="13">
                  <c:v>55718</c:v>
                </c:pt>
                <c:pt idx="14">
                  <c:v>86915</c:v>
                </c:pt>
                <c:pt idx="15">
                  <c:v>106191</c:v>
                </c:pt>
                <c:pt idx="16">
                  <c:v>54606</c:v>
                </c:pt>
                <c:pt idx="17">
                  <c:v>73551</c:v>
                </c:pt>
                <c:pt idx="18">
                  <c:v>125652</c:v>
                </c:pt>
                <c:pt idx="19">
                  <c:v>40037</c:v>
                </c:pt>
                <c:pt idx="20">
                  <c:v>48934</c:v>
                </c:pt>
                <c:pt idx="21">
                  <c:v>61078</c:v>
                </c:pt>
                <c:pt idx="22">
                  <c:v>93388</c:v>
                </c:pt>
                <c:pt idx="23">
                  <c:v>111706</c:v>
                </c:pt>
                <c:pt idx="24">
                  <c:v>188834</c:v>
                </c:pt>
                <c:pt idx="25">
                  <c:v>177266</c:v>
                </c:pt>
                <c:pt idx="26">
                  <c:v>187731</c:v>
                </c:pt>
                <c:pt idx="27">
                  <c:v>149239</c:v>
                </c:pt>
                <c:pt idx="28">
                  <c:v>115598</c:v>
                </c:pt>
                <c:pt idx="29">
                  <c:v>60973</c:v>
                </c:pt>
                <c:pt idx="30">
                  <c:v>58450</c:v>
                </c:pt>
                <c:pt idx="31">
                  <c:v>85691</c:v>
                </c:pt>
                <c:pt idx="32">
                  <c:v>66559</c:v>
                </c:pt>
                <c:pt idx="33">
                  <c:v>59385</c:v>
                </c:pt>
                <c:pt idx="34">
                  <c:v>92231</c:v>
                </c:pt>
                <c:pt idx="35">
                  <c:v>79289</c:v>
                </c:pt>
                <c:pt idx="36">
                  <c:v>64746</c:v>
                </c:pt>
                <c:pt idx="37">
                  <c:v>77043</c:v>
                </c:pt>
                <c:pt idx="38">
                  <c:v>83967</c:v>
                </c:pt>
                <c:pt idx="39">
                  <c:v>58233</c:v>
                </c:pt>
                <c:pt idx="40">
                  <c:v>43134</c:v>
                </c:pt>
                <c:pt idx="41">
                  <c:v>52918</c:v>
                </c:pt>
                <c:pt idx="42">
                  <c:v>85899</c:v>
                </c:pt>
                <c:pt idx="43">
                  <c:v>330035</c:v>
                </c:pt>
                <c:pt idx="44">
                  <c:v>115425</c:v>
                </c:pt>
                <c:pt idx="45">
                  <c:v>65867</c:v>
                </c:pt>
                <c:pt idx="46">
                  <c:v>135032</c:v>
                </c:pt>
                <c:pt idx="47">
                  <c:v>116557</c:v>
                </c:pt>
                <c:pt idx="48">
                  <c:v>121057</c:v>
                </c:pt>
                <c:pt idx="49">
                  <c:v>85836</c:v>
                </c:pt>
                <c:pt idx="50">
                  <c:v>93086</c:v>
                </c:pt>
                <c:pt idx="51">
                  <c:v>51421</c:v>
                </c:pt>
                <c:pt idx="52">
                  <c:v>70402</c:v>
                </c:pt>
                <c:pt idx="53">
                  <c:v>115512</c:v>
                </c:pt>
                <c:pt idx="54">
                  <c:v>375521</c:v>
                </c:pt>
                <c:pt idx="55">
                  <c:v>344837</c:v>
                </c:pt>
                <c:pt idx="56">
                  <c:v>91575</c:v>
                </c:pt>
                <c:pt idx="57">
                  <c:v>70907</c:v>
                </c:pt>
                <c:pt idx="58">
                  <c:v>83839</c:v>
                </c:pt>
                <c:pt idx="59">
                  <c:v>501772</c:v>
                </c:pt>
                <c:pt idx="60">
                  <c:v>220192</c:v>
                </c:pt>
                <c:pt idx="61">
                  <c:v>46738</c:v>
                </c:pt>
                <c:pt idx="62">
                  <c:v>102320</c:v>
                </c:pt>
                <c:pt idx="63">
                  <c:v>102330</c:v>
                </c:pt>
                <c:pt idx="64">
                  <c:v>51360</c:v>
                </c:pt>
                <c:pt idx="65">
                  <c:v>69409</c:v>
                </c:pt>
                <c:pt idx="66">
                  <c:v>378315</c:v>
                </c:pt>
                <c:pt idx="67">
                  <c:v>58755</c:v>
                </c:pt>
                <c:pt idx="68">
                  <c:v>92234</c:v>
                </c:pt>
                <c:pt idx="69">
                  <c:v>65019</c:v>
                </c:pt>
                <c:pt idx="70">
                  <c:v>57132</c:v>
                </c:pt>
                <c:pt idx="71">
                  <c:v>99786</c:v>
                </c:pt>
                <c:pt idx="72">
                  <c:v>37374</c:v>
                </c:pt>
                <c:pt idx="73">
                  <c:v>40658</c:v>
                </c:pt>
                <c:pt idx="74">
                  <c:v>36643</c:v>
                </c:pt>
                <c:pt idx="75">
                  <c:v>80113</c:v>
                </c:pt>
                <c:pt idx="76">
                  <c:v>99294</c:v>
                </c:pt>
                <c:pt idx="77">
                  <c:v>131606</c:v>
                </c:pt>
                <c:pt idx="78">
                  <c:v>419617</c:v>
                </c:pt>
                <c:pt idx="79">
                  <c:v>81251</c:v>
                </c:pt>
                <c:pt idx="80">
                  <c:v>68231</c:v>
                </c:pt>
                <c:pt idx="81">
                  <c:v>63518</c:v>
                </c:pt>
                <c:pt idx="82">
                  <c:v>63900</c:v>
                </c:pt>
                <c:pt idx="83">
                  <c:v>77098</c:v>
                </c:pt>
                <c:pt idx="84">
                  <c:v>62981</c:v>
                </c:pt>
                <c:pt idx="85">
                  <c:v>51658</c:v>
                </c:pt>
                <c:pt idx="86">
                  <c:v>72247</c:v>
                </c:pt>
                <c:pt idx="87">
                  <c:v>544406</c:v>
                </c:pt>
                <c:pt idx="88">
                  <c:v>107438</c:v>
                </c:pt>
                <c:pt idx="89">
                  <c:v>56247</c:v>
                </c:pt>
                <c:pt idx="90">
                  <c:v>82128</c:v>
                </c:pt>
                <c:pt idx="91">
                  <c:v>60588</c:v>
                </c:pt>
                <c:pt idx="92">
                  <c:v>69587</c:v>
                </c:pt>
                <c:pt idx="93">
                  <c:v>89550</c:v>
                </c:pt>
                <c:pt idx="94">
                  <c:v>57019</c:v>
                </c:pt>
                <c:pt idx="95">
                  <c:v>65756</c:v>
                </c:pt>
                <c:pt idx="96">
                  <c:v>141209</c:v>
                </c:pt>
                <c:pt idx="97">
                  <c:v>50801</c:v>
                </c:pt>
                <c:pt idx="98">
                  <c:v>186811</c:v>
                </c:pt>
                <c:pt idx="99">
                  <c:v>134804</c:v>
                </c:pt>
                <c:pt idx="100">
                  <c:v>95317</c:v>
                </c:pt>
                <c:pt idx="101">
                  <c:v>287946</c:v>
                </c:pt>
                <c:pt idx="102">
                  <c:v>289133</c:v>
                </c:pt>
                <c:pt idx="103">
                  <c:v>138115</c:v>
                </c:pt>
                <c:pt idx="104">
                  <c:v>131341</c:v>
                </c:pt>
                <c:pt idx="105">
                  <c:v>41080</c:v>
                </c:pt>
                <c:pt idx="106">
                  <c:v>45427</c:v>
                </c:pt>
                <c:pt idx="107">
                  <c:v>138535</c:v>
                </c:pt>
                <c:pt idx="108">
                  <c:v>64507</c:v>
                </c:pt>
                <c:pt idx="109">
                  <c:v>80810</c:v>
                </c:pt>
                <c:pt idx="110">
                  <c:v>83892</c:v>
                </c:pt>
                <c:pt idx="111">
                  <c:v>188658</c:v>
                </c:pt>
                <c:pt idx="112">
                  <c:v>660028</c:v>
                </c:pt>
                <c:pt idx="113">
                  <c:v>180161</c:v>
                </c:pt>
                <c:pt idx="114">
                  <c:v>138958</c:v>
                </c:pt>
                <c:pt idx="115">
                  <c:v>191683</c:v>
                </c:pt>
                <c:pt idx="116">
                  <c:v>129778</c:v>
                </c:pt>
                <c:pt idx="117">
                  <c:v>107098</c:v>
                </c:pt>
                <c:pt idx="118">
                  <c:v>86433</c:v>
                </c:pt>
                <c:pt idx="119">
                  <c:v>76866</c:v>
                </c:pt>
                <c:pt idx="120">
                  <c:v>65315</c:v>
                </c:pt>
                <c:pt idx="121">
                  <c:v>82349</c:v>
                </c:pt>
                <c:pt idx="122">
                  <c:v>54228</c:v>
                </c:pt>
                <c:pt idx="123">
                  <c:v>56904</c:v>
                </c:pt>
                <c:pt idx="124">
                  <c:v>190670</c:v>
                </c:pt>
                <c:pt idx="125">
                  <c:v>33686</c:v>
                </c:pt>
                <c:pt idx="126">
                  <c:v>22499</c:v>
                </c:pt>
                <c:pt idx="127">
                  <c:v>44842</c:v>
                </c:pt>
                <c:pt idx="128">
                  <c:v>34509</c:v>
                </c:pt>
                <c:pt idx="129">
                  <c:v>48508</c:v>
                </c:pt>
                <c:pt idx="130">
                  <c:v>43635</c:v>
                </c:pt>
                <c:pt idx="131">
                  <c:v>50879</c:v>
                </c:pt>
                <c:pt idx="132">
                  <c:v>30194</c:v>
                </c:pt>
                <c:pt idx="133">
                  <c:v>47204</c:v>
                </c:pt>
                <c:pt idx="134">
                  <c:v>38239</c:v>
                </c:pt>
                <c:pt idx="135">
                  <c:v>60887</c:v>
                </c:pt>
                <c:pt idx="136">
                  <c:v>55973</c:v>
                </c:pt>
                <c:pt idx="137">
                  <c:v>28772</c:v>
                </c:pt>
                <c:pt idx="138">
                  <c:v>133742</c:v>
                </c:pt>
                <c:pt idx="139">
                  <c:v>73965</c:v>
                </c:pt>
                <c:pt idx="140">
                  <c:v>109471</c:v>
                </c:pt>
                <c:pt idx="141">
                  <c:v>187383</c:v>
                </c:pt>
                <c:pt idx="142">
                  <c:v>193212</c:v>
                </c:pt>
                <c:pt idx="143">
                  <c:v>114048</c:v>
                </c:pt>
                <c:pt idx="144">
                  <c:v>120768</c:v>
                </c:pt>
                <c:pt idx="145">
                  <c:v>102477</c:v>
                </c:pt>
                <c:pt idx="146">
                  <c:v>104909</c:v>
                </c:pt>
                <c:pt idx="147">
                  <c:v>36290</c:v>
                </c:pt>
                <c:pt idx="148">
                  <c:v>61370</c:v>
                </c:pt>
                <c:pt idx="149">
                  <c:v>36865</c:v>
                </c:pt>
                <c:pt idx="150">
                  <c:v>57779</c:v>
                </c:pt>
                <c:pt idx="151">
                  <c:v>48483</c:v>
                </c:pt>
                <c:pt idx="152">
                  <c:v>28292</c:v>
                </c:pt>
                <c:pt idx="153">
                  <c:v>70117</c:v>
                </c:pt>
                <c:pt idx="154">
                  <c:v>90700</c:v>
                </c:pt>
                <c:pt idx="155">
                  <c:v>98147</c:v>
                </c:pt>
                <c:pt idx="156">
                  <c:v>23378</c:v>
                </c:pt>
                <c:pt idx="157">
                  <c:v>127350</c:v>
                </c:pt>
                <c:pt idx="158">
                  <c:v>50801</c:v>
                </c:pt>
                <c:pt idx="159">
                  <c:v>78034</c:v>
                </c:pt>
                <c:pt idx="160">
                  <c:v>83872</c:v>
                </c:pt>
                <c:pt idx="161">
                  <c:v>25787</c:v>
                </c:pt>
                <c:pt idx="162">
                  <c:v>40951</c:v>
                </c:pt>
                <c:pt idx="163">
                  <c:v>58542</c:v>
                </c:pt>
                <c:pt idx="164">
                  <c:v>137772</c:v>
                </c:pt>
                <c:pt idx="165">
                  <c:v>114421</c:v>
                </c:pt>
                <c:pt idx="166">
                  <c:v>91641</c:v>
                </c:pt>
                <c:pt idx="167">
                  <c:v>222881</c:v>
                </c:pt>
                <c:pt idx="168">
                  <c:v>63543</c:v>
                </c:pt>
                <c:pt idx="169">
                  <c:v>684134</c:v>
                </c:pt>
                <c:pt idx="170">
                  <c:v>293824</c:v>
                </c:pt>
                <c:pt idx="171">
                  <c:v>282357</c:v>
                </c:pt>
                <c:pt idx="172">
                  <c:v>180998</c:v>
                </c:pt>
                <c:pt idx="173">
                  <c:v>157166</c:v>
                </c:pt>
                <c:pt idx="174">
                  <c:v>82948</c:v>
                </c:pt>
                <c:pt idx="175">
                  <c:v>107665</c:v>
                </c:pt>
                <c:pt idx="176">
                  <c:v>77329</c:v>
                </c:pt>
                <c:pt idx="177">
                  <c:v>165225</c:v>
                </c:pt>
                <c:pt idx="178">
                  <c:v>139528</c:v>
                </c:pt>
                <c:pt idx="179">
                  <c:v>118328</c:v>
                </c:pt>
                <c:pt idx="180">
                  <c:v>148185</c:v>
                </c:pt>
                <c:pt idx="181">
                  <c:v>127555</c:v>
                </c:pt>
                <c:pt idx="182">
                  <c:v>100460</c:v>
                </c:pt>
                <c:pt idx="183">
                  <c:v>117996</c:v>
                </c:pt>
                <c:pt idx="184">
                  <c:v>230788</c:v>
                </c:pt>
                <c:pt idx="185">
                  <c:v>212062</c:v>
                </c:pt>
                <c:pt idx="186">
                  <c:v>75298</c:v>
                </c:pt>
                <c:pt idx="187">
                  <c:v>97171</c:v>
                </c:pt>
                <c:pt idx="188">
                  <c:v>251623</c:v>
                </c:pt>
                <c:pt idx="189">
                  <c:v>81062</c:v>
                </c:pt>
                <c:pt idx="190">
                  <c:v>122793</c:v>
                </c:pt>
                <c:pt idx="191">
                  <c:v>83337</c:v>
                </c:pt>
                <c:pt idx="192">
                  <c:v>56740</c:v>
                </c:pt>
                <c:pt idx="193">
                  <c:v>139809</c:v>
                </c:pt>
                <c:pt idx="194">
                  <c:v>145496</c:v>
                </c:pt>
                <c:pt idx="195">
                  <c:v>125181</c:v>
                </c:pt>
                <c:pt idx="196">
                  <c:v>363066</c:v>
                </c:pt>
                <c:pt idx="197">
                  <c:v>250518</c:v>
                </c:pt>
                <c:pt idx="198">
                  <c:v>222211</c:v>
                </c:pt>
                <c:pt idx="199">
                  <c:v>186969</c:v>
                </c:pt>
                <c:pt idx="200">
                  <c:v>84904</c:v>
                </c:pt>
                <c:pt idx="201">
                  <c:v>66502</c:v>
                </c:pt>
                <c:pt idx="202">
                  <c:v>92165</c:v>
                </c:pt>
                <c:pt idx="203">
                  <c:v>145962</c:v>
                </c:pt>
                <c:pt idx="204">
                  <c:v>70459</c:v>
                </c:pt>
                <c:pt idx="205">
                  <c:v>276230</c:v>
                </c:pt>
                <c:pt idx="206">
                  <c:v>202585</c:v>
                </c:pt>
                <c:pt idx="207">
                  <c:v>75796</c:v>
                </c:pt>
                <c:pt idx="208">
                  <c:v>133711</c:v>
                </c:pt>
                <c:pt idx="209">
                  <c:v>253057</c:v>
                </c:pt>
                <c:pt idx="210">
                  <c:v>202427</c:v>
                </c:pt>
                <c:pt idx="211">
                  <c:v>264244</c:v>
                </c:pt>
                <c:pt idx="212">
                  <c:v>86402</c:v>
                </c:pt>
                <c:pt idx="213">
                  <c:v>69226</c:v>
                </c:pt>
                <c:pt idx="214">
                  <c:v>48091</c:v>
                </c:pt>
                <c:pt idx="215">
                  <c:v>168848</c:v>
                </c:pt>
                <c:pt idx="216">
                  <c:v>110643</c:v>
                </c:pt>
                <c:pt idx="217">
                  <c:v>208561</c:v>
                </c:pt>
                <c:pt idx="218">
                  <c:v>236009</c:v>
                </c:pt>
                <c:pt idx="219">
                  <c:v>165342</c:v>
                </c:pt>
                <c:pt idx="220">
                  <c:v>241557</c:v>
                </c:pt>
                <c:pt idx="221">
                  <c:v>122350</c:v>
                </c:pt>
                <c:pt idx="222">
                  <c:v>139398</c:v>
                </c:pt>
                <c:pt idx="223">
                  <c:v>135107</c:v>
                </c:pt>
                <c:pt idx="224">
                  <c:v>123709</c:v>
                </c:pt>
                <c:pt idx="225">
                  <c:v>121654</c:v>
                </c:pt>
                <c:pt idx="226">
                  <c:v>142058</c:v>
                </c:pt>
                <c:pt idx="227">
                  <c:v>134923</c:v>
                </c:pt>
                <c:pt idx="228">
                  <c:v>77650</c:v>
                </c:pt>
                <c:pt idx="229">
                  <c:v>255107</c:v>
                </c:pt>
                <c:pt idx="230">
                  <c:v>65243</c:v>
                </c:pt>
                <c:pt idx="231">
                  <c:v>177457</c:v>
                </c:pt>
                <c:pt idx="232">
                  <c:v>123315</c:v>
                </c:pt>
                <c:pt idx="233">
                  <c:v>96325</c:v>
                </c:pt>
                <c:pt idx="234">
                  <c:v>105195</c:v>
                </c:pt>
                <c:pt idx="235">
                  <c:v>170980</c:v>
                </c:pt>
                <c:pt idx="236">
                  <c:v>87601</c:v>
                </c:pt>
                <c:pt idx="237">
                  <c:v>172347</c:v>
                </c:pt>
                <c:pt idx="238">
                  <c:v>81144</c:v>
                </c:pt>
                <c:pt idx="239">
                  <c:v>62269</c:v>
                </c:pt>
                <c:pt idx="240">
                  <c:v>148538</c:v>
                </c:pt>
                <c:pt idx="241">
                  <c:v>171463</c:v>
                </c:pt>
                <c:pt idx="242">
                  <c:v>88351</c:v>
                </c:pt>
                <c:pt idx="243">
                  <c:v>99725</c:v>
                </c:pt>
                <c:pt idx="244">
                  <c:v>101788</c:v>
                </c:pt>
                <c:pt idx="245">
                  <c:v>91707</c:v>
                </c:pt>
                <c:pt idx="246">
                  <c:v>669379</c:v>
                </c:pt>
                <c:pt idx="247">
                  <c:v>204871</c:v>
                </c:pt>
                <c:pt idx="248">
                  <c:v>99502</c:v>
                </c:pt>
                <c:pt idx="249">
                  <c:v>193473</c:v>
                </c:pt>
                <c:pt idx="250">
                  <c:v>92103</c:v>
                </c:pt>
                <c:pt idx="251">
                  <c:v>81055</c:v>
                </c:pt>
                <c:pt idx="252">
                  <c:v>184984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F5-0143-9210-8CBEEAADA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2930592"/>
        <c:axId val="802681760"/>
      </c:scatterChart>
      <c:valAx>
        <c:axId val="802930592"/>
        <c:scaling>
          <c:orientation val="minMax"/>
          <c:max val="6.5"/>
          <c:min val="3.6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GB" sz="1100"/>
              </a:p>
              <a:p>
                <a:pPr>
                  <a:defRPr sz="1100"/>
                </a:pPr>
                <a:r>
                  <a:rPr lang="en-GB" sz="1100"/>
                  <a:t>Stock close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681760"/>
        <c:crosses val="autoZero"/>
        <c:crossBetween val="midCat"/>
      </c:valAx>
      <c:valAx>
        <c:axId val="802681760"/>
        <c:scaling>
          <c:orientation val="minMax"/>
          <c:max val="700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/>
                  <a:t>Volume</a:t>
                </a:r>
              </a:p>
              <a:p>
                <a:pPr>
                  <a:defRPr sz="1100"/>
                </a:pPr>
                <a:endParaRPr lang="en-GB" sz="11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93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400" b="1"/>
              <a:t>Stock movement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'AEF-keep'!$D$1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'AEF-keep'!$C$2:$C$254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'AEF-keep'!$D$2:$D$254</c:f>
              <c:numCache>
                <c:formatCode>"$"#,##0.00</c:formatCode>
                <c:ptCount val="253"/>
                <c:pt idx="0">
                  <c:v>4.4000000000000004</c:v>
                </c:pt>
                <c:pt idx="1">
                  <c:v>4.2300000000000004</c:v>
                </c:pt>
                <c:pt idx="2">
                  <c:v>4.25</c:v>
                </c:pt>
                <c:pt idx="3">
                  <c:v>4.18</c:v>
                </c:pt>
                <c:pt idx="4">
                  <c:v>4.28</c:v>
                </c:pt>
                <c:pt idx="5">
                  <c:v>4.18</c:v>
                </c:pt>
                <c:pt idx="6">
                  <c:v>4.2699999999999996</c:v>
                </c:pt>
                <c:pt idx="7">
                  <c:v>4.01</c:v>
                </c:pt>
                <c:pt idx="8">
                  <c:v>4.1399999999999997</c:v>
                </c:pt>
                <c:pt idx="9">
                  <c:v>4.0599999999999996</c:v>
                </c:pt>
                <c:pt idx="10">
                  <c:v>4.0199999999999996</c:v>
                </c:pt>
                <c:pt idx="11">
                  <c:v>4.05</c:v>
                </c:pt>
                <c:pt idx="12">
                  <c:v>4.2</c:v>
                </c:pt>
                <c:pt idx="13">
                  <c:v>4.21</c:v>
                </c:pt>
                <c:pt idx="14">
                  <c:v>4.1500000000000004</c:v>
                </c:pt>
                <c:pt idx="15">
                  <c:v>4.13</c:v>
                </c:pt>
                <c:pt idx="16">
                  <c:v>4.12</c:v>
                </c:pt>
                <c:pt idx="17">
                  <c:v>4.04</c:v>
                </c:pt>
                <c:pt idx="18">
                  <c:v>4.05</c:v>
                </c:pt>
                <c:pt idx="19">
                  <c:v>4.0599999999999996</c:v>
                </c:pt>
                <c:pt idx="20">
                  <c:v>4.05</c:v>
                </c:pt>
                <c:pt idx="21">
                  <c:v>3.91</c:v>
                </c:pt>
                <c:pt idx="22">
                  <c:v>3.93</c:v>
                </c:pt>
                <c:pt idx="23">
                  <c:v>4</c:v>
                </c:pt>
                <c:pt idx="24">
                  <c:v>4.09</c:v>
                </c:pt>
                <c:pt idx="25">
                  <c:v>3.8</c:v>
                </c:pt>
                <c:pt idx="26">
                  <c:v>3.75</c:v>
                </c:pt>
                <c:pt idx="27">
                  <c:v>4</c:v>
                </c:pt>
                <c:pt idx="28">
                  <c:v>3.82</c:v>
                </c:pt>
                <c:pt idx="29">
                  <c:v>3.8</c:v>
                </c:pt>
                <c:pt idx="30">
                  <c:v>3.93</c:v>
                </c:pt>
                <c:pt idx="31">
                  <c:v>3.82</c:v>
                </c:pt>
                <c:pt idx="32">
                  <c:v>3.75</c:v>
                </c:pt>
                <c:pt idx="33">
                  <c:v>3.76</c:v>
                </c:pt>
                <c:pt idx="34">
                  <c:v>3.84</c:v>
                </c:pt>
                <c:pt idx="35">
                  <c:v>3.95</c:v>
                </c:pt>
                <c:pt idx="36">
                  <c:v>3.94</c:v>
                </c:pt>
                <c:pt idx="37">
                  <c:v>3.98</c:v>
                </c:pt>
                <c:pt idx="38">
                  <c:v>4.01</c:v>
                </c:pt>
                <c:pt idx="39">
                  <c:v>4.0599999999999996</c:v>
                </c:pt>
                <c:pt idx="40">
                  <c:v>4</c:v>
                </c:pt>
                <c:pt idx="41">
                  <c:v>3.94</c:v>
                </c:pt>
                <c:pt idx="42">
                  <c:v>3.84</c:v>
                </c:pt>
                <c:pt idx="43">
                  <c:v>4.0199999999999996</c:v>
                </c:pt>
                <c:pt idx="44">
                  <c:v>4.09</c:v>
                </c:pt>
                <c:pt idx="45">
                  <c:v>4.13</c:v>
                </c:pt>
                <c:pt idx="46">
                  <c:v>4</c:v>
                </c:pt>
                <c:pt idx="47">
                  <c:v>3.95</c:v>
                </c:pt>
                <c:pt idx="48">
                  <c:v>3.9</c:v>
                </c:pt>
                <c:pt idx="49">
                  <c:v>3.96</c:v>
                </c:pt>
                <c:pt idx="50">
                  <c:v>3.86</c:v>
                </c:pt>
                <c:pt idx="51">
                  <c:v>3.92</c:v>
                </c:pt>
                <c:pt idx="52">
                  <c:v>3.96</c:v>
                </c:pt>
                <c:pt idx="53">
                  <c:v>4.0999999999999996</c:v>
                </c:pt>
                <c:pt idx="54">
                  <c:v>4.1500000000000004</c:v>
                </c:pt>
                <c:pt idx="55">
                  <c:v>4.38</c:v>
                </c:pt>
                <c:pt idx="56">
                  <c:v>4.29</c:v>
                </c:pt>
                <c:pt idx="57">
                  <c:v>4.2300000000000004</c:v>
                </c:pt>
                <c:pt idx="58">
                  <c:v>4.25</c:v>
                </c:pt>
                <c:pt idx="59">
                  <c:v>4.3499999999999996</c:v>
                </c:pt>
                <c:pt idx="60">
                  <c:v>4.3</c:v>
                </c:pt>
                <c:pt idx="61">
                  <c:v>4.3</c:v>
                </c:pt>
                <c:pt idx="62">
                  <c:v>4.37</c:v>
                </c:pt>
                <c:pt idx="63">
                  <c:v>4.26</c:v>
                </c:pt>
                <c:pt idx="64">
                  <c:v>4.3</c:v>
                </c:pt>
                <c:pt idx="65">
                  <c:v>4.3099999999999996</c:v>
                </c:pt>
                <c:pt idx="66">
                  <c:v>4.3600000000000003</c:v>
                </c:pt>
                <c:pt idx="67">
                  <c:v>4.45</c:v>
                </c:pt>
                <c:pt idx="68">
                  <c:v>4.3099999999999996</c:v>
                </c:pt>
                <c:pt idx="69">
                  <c:v>4.2699999999999996</c:v>
                </c:pt>
                <c:pt idx="70">
                  <c:v>4.3</c:v>
                </c:pt>
                <c:pt idx="71">
                  <c:v>4.42</c:v>
                </c:pt>
                <c:pt idx="72">
                  <c:v>4.28</c:v>
                </c:pt>
                <c:pt idx="73">
                  <c:v>4.34</c:v>
                </c:pt>
                <c:pt idx="74">
                  <c:v>4.3</c:v>
                </c:pt>
                <c:pt idx="75">
                  <c:v>4.3</c:v>
                </c:pt>
                <c:pt idx="76">
                  <c:v>4.3499999999999996</c:v>
                </c:pt>
                <c:pt idx="77">
                  <c:v>4.22</c:v>
                </c:pt>
                <c:pt idx="78">
                  <c:v>4.0999999999999996</c:v>
                </c:pt>
                <c:pt idx="79">
                  <c:v>4.21</c:v>
                </c:pt>
                <c:pt idx="80">
                  <c:v>4.1399999999999997</c:v>
                </c:pt>
                <c:pt idx="81">
                  <c:v>4.12</c:v>
                </c:pt>
                <c:pt idx="82">
                  <c:v>4.16</c:v>
                </c:pt>
                <c:pt idx="83">
                  <c:v>4.03</c:v>
                </c:pt>
                <c:pt idx="84">
                  <c:v>4.03</c:v>
                </c:pt>
                <c:pt idx="85">
                  <c:v>4.0199999999999996</c:v>
                </c:pt>
                <c:pt idx="86">
                  <c:v>4.1399999999999997</c:v>
                </c:pt>
                <c:pt idx="87">
                  <c:v>4.28</c:v>
                </c:pt>
                <c:pt idx="88">
                  <c:v>4.46</c:v>
                </c:pt>
                <c:pt idx="89">
                  <c:v>4.5</c:v>
                </c:pt>
                <c:pt idx="90">
                  <c:v>4.3899999999999997</c:v>
                </c:pt>
                <c:pt idx="91">
                  <c:v>4.3</c:v>
                </c:pt>
                <c:pt idx="92">
                  <c:v>4.33</c:v>
                </c:pt>
                <c:pt idx="93">
                  <c:v>4.42</c:v>
                </c:pt>
                <c:pt idx="94">
                  <c:v>4.55</c:v>
                </c:pt>
                <c:pt idx="95">
                  <c:v>4.5</c:v>
                </c:pt>
                <c:pt idx="96">
                  <c:v>4.6500000000000004</c:v>
                </c:pt>
                <c:pt idx="97">
                  <c:v>4.49</c:v>
                </c:pt>
                <c:pt idx="98">
                  <c:v>4.51</c:v>
                </c:pt>
                <c:pt idx="99">
                  <c:v>4.55</c:v>
                </c:pt>
                <c:pt idx="100">
                  <c:v>4.7300000000000004</c:v>
                </c:pt>
                <c:pt idx="101">
                  <c:v>4.83</c:v>
                </c:pt>
                <c:pt idx="102">
                  <c:v>5</c:v>
                </c:pt>
                <c:pt idx="103">
                  <c:v>5.0199999999999996</c:v>
                </c:pt>
                <c:pt idx="104">
                  <c:v>4.97</c:v>
                </c:pt>
                <c:pt idx="105">
                  <c:v>4.8499999999999996</c:v>
                </c:pt>
                <c:pt idx="106">
                  <c:v>4.78</c:v>
                </c:pt>
                <c:pt idx="107">
                  <c:v>4.82</c:v>
                </c:pt>
                <c:pt idx="108">
                  <c:v>5</c:v>
                </c:pt>
                <c:pt idx="109">
                  <c:v>4.99</c:v>
                </c:pt>
                <c:pt idx="110">
                  <c:v>5.07</c:v>
                </c:pt>
                <c:pt idx="111">
                  <c:v>5.0199999999999996</c:v>
                </c:pt>
                <c:pt idx="112">
                  <c:v>5.42</c:v>
                </c:pt>
                <c:pt idx="113">
                  <c:v>5.41</c:v>
                </c:pt>
                <c:pt idx="114">
                  <c:v>5.6</c:v>
                </c:pt>
                <c:pt idx="115">
                  <c:v>5.62</c:v>
                </c:pt>
                <c:pt idx="116">
                  <c:v>5.69</c:v>
                </c:pt>
                <c:pt idx="117">
                  <c:v>5.59</c:v>
                </c:pt>
                <c:pt idx="118">
                  <c:v>5.58</c:v>
                </c:pt>
                <c:pt idx="119">
                  <c:v>5.66</c:v>
                </c:pt>
                <c:pt idx="120">
                  <c:v>5.51</c:v>
                </c:pt>
                <c:pt idx="121">
                  <c:v>5.34</c:v>
                </c:pt>
                <c:pt idx="122">
                  <c:v>5.4</c:v>
                </c:pt>
                <c:pt idx="123">
                  <c:v>5.32</c:v>
                </c:pt>
                <c:pt idx="124">
                  <c:v>5.21</c:v>
                </c:pt>
                <c:pt idx="125">
                  <c:v>5.25</c:v>
                </c:pt>
                <c:pt idx="126">
                  <c:v>5.25</c:v>
                </c:pt>
                <c:pt idx="127">
                  <c:v>5.37</c:v>
                </c:pt>
                <c:pt idx="128">
                  <c:v>5.25</c:v>
                </c:pt>
                <c:pt idx="129">
                  <c:v>5.37</c:v>
                </c:pt>
                <c:pt idx="130">
                  <c:v>5.35</c:v>
                </c:pt>
                <c:pt idx="131">
                  <c:v>5.23</c:v>
                </c:pt>
                <c:pt idx="132">
                  <c:v>5.22</c:v>
                </c:pt>
                <c:pt idx="133">
                  <c:v>5.15</c:v>
                </c:pt>
                <c:pt idx="134">
                  <c:v>5.13</c:v>
                </c:pt>
                <c:pt idx="135">
                  <c:v>5.24</c:v>
                </c:pt>
                <c:pt idx="136">
                  <c:v>5.3</c:v>
                </c:pt>
                <c:pt idx="137">
                  <c:v>5.28</c:v>
                </c:pt>
                <c:pt idx="138">
                  <c:v>5.28</c:v>
                </c:pt>
                <c:pt idx="139">
                  <c:v>5.2</c:v>
                </c:pt>
                <c:pt idx="140">
                  <c:v>5.16</c:v>
                </c:pt>
                <c:pt idx="141">
                  <c:v>5.2</c:v>
                </c:pt>
                <c:pt idx="142">
                  <c:v>5.25</c:v>
                </c:pt>
                <c:pt idx="143">
                  <c:v>5.05</c:v>
                </c:pt>
                <c:pt idx="144">
                  <c:v>5.01</c:v>
                </c:pt>
                <c:pt idx="145">
                  <c:v>5.09</c:v>
                </c:pt>
                <c:pt idx="146">
                  <c:v>4.95</c:v>
                </c:pt>
                <c:pt idx="147">
                  <c:v>4.95</c:v>
                </c:pt>
                <c:pt idx="148">
                  <c:v>4.99</c:v>
                </c:pt>
                <c:pt idx="149">
                  <c:v>4.92</c:v>
                </c:pt>
                <c:pt idx="150">
                  <c:v>4.9400000000000004</c:v>
                </c:pt>
                <c:pt idx="151">
                  <c:v>4.95</c:v>
                </c:pt>
                <c:pt idx="152">
                  <c:v>4.87</c:v>
                </c:pt>
                <c:pt idx="153">
                  <c:v>4.8499999999999996</c:v>
                </c:pt>
                <c:pt idx="154">
                  <c:v>4.53</c:v>
                </c:pt>
                <c:pt idx="155">
                  <c:v>4.72</c:v>
                </c:pt>
                <c:pt idx="156">
                  <c:v>4.9000000000000004</c:v>
                </c:pt>
                <c:pt idx="157">
                  <c:v>4.9800000000000004</c:v>
                </c:pt>
                <c:pt idx="158">
                  <c:v>4.9800000000000004</c:v>
                </c:pt>
                <c:pt idx="159">
                  <c:v>4.91</c:v>
                </c:pt>
                <c:pt idx="160">
                  <c:v>4.92</c:v>
                </c:pt>
                <c:pt idx="161">
                  <c:v>4.99</c:v>
                </c:pt>
                <c:pt idx="162">
                  <c:v>5.03</c:v>
                </c:pt>
                <c:pt idx="163">
                  <c:v>4.9400000000000004</c:v>
                </c:pt>
                <c:pt idx="164">
                  <c:v>5.08</c:v>
                </c:pt>
                <c:pt idx="165">
                  <c:v>5.29</c:v>
                </c:pt>
                <c:pt idx="166">
                  <c:v>5.23</c:v>
                </c:pt>
                <c:pt idx="167">
                  <c:v>5.3</c:v>
                </c:pt>
                <c:pt idx="168">
                  <c:v>5.13</c:v>
                </c:pt>
                <c:pt idx="169">
                  <c:v>5.25</c:v>
                </c:pt>
                <c:pt idx="170">
                  <c:v>6.17</c:v>
                </c:pt>
                <c:pt idx="171">
                  <c:v>6.27</c:v>
                </c:pt>
                <c:pt idx="172">
                  <c:v>6.38</c:v>
                </c:pt>
                <c:pt idx="173">
                  <c:v>6.26</c:v>
                </c:pt>
                <c:pt idx="174">
                  <c:v>6.06</c:v>
                </c:pt>
                <c:pt idx="175">
                  <c:v>5.92</c:v>
                </c:pt>
                <c:pt idx="176">
                  <c:v>5.71</c:v>
                </c:pt>
                <c:pt idx="177">
                  <c:v>5.5</c:v>
                </c:pt>
                <c:pt idx="178">
                  <c:v>5.22</c:v>
                </c:pt>
                <c:pt idx="179">
                  <c:v>5.44</c:v>
                </c:pt>
                <c:pt idx="180">
                  <c:v>5.58</c:v>
                </c:pt>
                <c:pt idx="181">
                  <c:v>5.66</c:v>
                </c:pt>
                <c:pt idx="182">
                  <c:v>5.65</c:v>
                </c:pt>
                <c:pt idx="183">
                  <c:v>5.57</c:v>
                </c:pt>
                <c:pt idx="184">
                  <c:v>5.79</c:v>
                </c:pt>
                <c:pt idx="185">
                  <c:v>5.9</c:v>
                </c:pt>
                <c:pt idx="186">
                  <c:v>5.78</c:v>
                </c:pt>
                <c:pt idx="187">
                  <c:v>5.76</c:v>
                </c:pt>
                <c:pt idx="188">
                  <c:v>5.9</c:v>
                </c:pt>
                <c:pt idx="189">
                  <c:v>5.8</c:v>
                </c:pt>
                <c:pt idx="190">
                  <c:v>5.9</c:v>
                </c:pt>
                <c:pt idx="191">
                  <c:v>5.85</c:v>
                </c:pt>
                <c:pt idx="192">
                  <c:v>5.9</c:v>
                </c:pt>
                <c:pt idx="193">
                  <c:v>5.95</c:v>
                </c:pt>
                <c:pt idx="194">
                  <c:v>5.77</c:v>
                </c:pt>
                <c:pt idx="195">
                  <c:v>5.45</c:v>
                </c:pt>
                <c:pt idx="196">
                  <c:v>5.29</c:v>
                </c:pt>
                <c:pt idx="197">
                  <c:v>5.0999999999999996</c:v>
                </c:pt>
                <c:pt idx="198">
                  <c:v>5.0199999999999996</c:v>
                </c:pt>
                <c:pt idx="199">
                  <c:v>5.2</c:v>
                </c:pt>
                <c:pt idx="200">
                  <c:v>5.1100000000000003</c:v>
                </c:pt>
                <c:pt idx="201">
                  <c:v>5.27</c:v>
                </c:pt>
                <c:pt idx="202">
                  <c:v>5.25</c:v>
                </c:pt>
                <c:pt idx="203">
                  <c:v>5</c:v>
                </c:pt>
                <c:pt idx="204">
                  <c:v>5.04</c:v>
                </c:pt>
                <c:pt idx="205">
                  <c:v>5</c:v>
                </c:pt>
                <c:pt idx="206">
                  <c:v>5.05</c:v>
                </c:pt>
                <c:pt idx="207">
                  <c:v>5.26</c:v>
                </c:pt>
                <c:pt idx="208">
                  <c:v>5.25</c:v>
                </c:pt>
                <c:pt idx="209">
                  <c:v>5.14</c:v>
                </c:pt>
                <c:pt idx="210">
                  <c:v>5.28</c:v>
                </c:pt>
                <c:pt idx="211">
                  <c:v>5.19</c:v>
                </c:pt>
                <c:pt idx="212">
                  <c:v>5.13</c:v>
                </c:pt>
                <c:pt idx="213">
                  <c:v>5.28</c:v>
                </c:pt>
                <c:pt idx="214">
                  <c:v>5.14</c:v>
                </c:pt>
                <c:pt idx="215">
                  <c:v>5.1100000000000003</c:v>
                </c:pt>
                <c:pt idx="216">
                  <c:v>5.51</c:v>
                </c:pt>
                <c:pt idx="217">
                  <c:v>5.51</c:v>
                </c:pt>
                <c:pt idx="218">
                  <c:v>5.63</c:v>
                </c:pt>
                <c:pt idx="219">
                  <c:v>5.88</c:v>
                </c:pt>
                <c:pt idx="220">
                  <c:v>6.04</c:v>
                </c:pt>
                <c:pt idx="221">
                  <c:v>6.1</c:v>
                </c:pt>
                <c:pt idx="222">
                  <c:v>6.2</c:v>
                </c:pt>
                <c:pt idx="223">
                  <c:v>6.07</c:v>
                </c:pt>
                <c:pt idx="224">
                  <c:v>5.9</c:v>
                </c:pt>
                <c:pt idx="225">
                  <c:v>6</c:v>
                </c:pt>
                <c:pt idx="226">
                  <c:v>5.97</c:v>
                </c:pt>
                <c:pt idx="227">
                  <c:v>6</c:v>
                </c:pt>
                <c:pt idx="228">
                  <c:v>5.84</c:v>
                </c:pt>
                <c:pt idx="229">
                  <c:v>5.96</c:v>
                </c:pt>
                <c:pt idx="230">
                  <c:v>5.8</c:v>
                </c:pt>
                <c:pt idx="231">
                  <c:v>5.82</c:v>
                </c:pt>
                <c:pt idx="232">
                  <c:v>5.78</c:v>
                </c:pt>
                <c:pt idx="233">
                  <c:v>5.86</c:v>
                </c:pt>
                <c:pt idx="234">
                  <c:v>6</c:v>
                </c:pt>
                <c:pt idx="235">
                  <c:v>6.1</c:v>
                </c:pt>
                <c:pt idx="236">
                  <c:v>6.2</c:v>
                </c:pt>
                <c:pt idx="237">
                  <c:v>6.16</c:v>
                </c:pt>
                <c:pt idx="238">
                  <c:v>6.03</c:v>
                </c:pt>
                <c:pt idx="239">
                  <c:v>6</c:v>
                </c:pt>
                <c:pt idx="240">
                  <c:v>5.9</c:v>
                </c:pt>
                <c:pt idx="241">
                  <c:v>6</c:v>
                </c:pt>
                <c:pt idx="242">
                  <c:v>6.09</c:v>
                </c:pt>
                <c:pt idx="243">
                  <c:v>6.06</c:v>
                </c:pt>
                <c:pt idx="244">
                  <c:v>6</c:v>
                </c:pt>
                <c:pt idx="245">
                  <c:v>5.92</c:v>
                </c:pt>
                <c:pt idx="246">
                  <c:v>6</c:v>
                </c:pt>
                <c:pt idx="247">
                  <c:v>5.9</c:v>
                </c:pt>
                <c:pt idx="248">
                  <c:v>6.16</c:v>
                </c:pt>
                <c:pt idx="249">
                  <c:v>6.19</c:v>
                </c:pt>
                <c:pt idx="250">
                  <c:v>6.06</c:v>
                </c:pt>
                <c:pt idx="251">
                  <c:v>6.29</c:v>
                </c:pt>
                <c:pt idx="252">
                  <c:v>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98-5B46-B365-3B71125538C7}"/>
            </c:ext>
          </c:extLst>
        </c:ser>
        <c:ser>
          <c:idx val="1"/>
          <c:order val="1"/>
          <c:tx>
            <c:strRef>
              <c:f>'AEF-keep'!$E$1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'AEF-keep'!$C$2:$C$254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'AEF-keep'!$E$2:$E$254</c:f>
              <c:numCache>
                <c:formatCode>"$"#,##0.00</c:formatCode>
                <c:ptCount val="253"/>
                <c:pt idx="0">
                  <c:v>4.4000000000000004</c:v>
                </c:pt>
                <c:pt idx="1">
                  <c:v>4.33</c:v>
                </c:pt>
                <c:pt idx="2">
                  <c:v>4.32</c:v>
                </c:pt>
                <c:pt idx="3">
                  <c:v>4.34</c:v>
                </c:pt>
                <c:pt idx="4">
                  <c:v>4.3</c:v>
                </c:pt>
                <c:pt idx="5">
                  <c:v>4.28</c:v>
                </c:pt>
                <c:pt idx="6">
                  <c:v>4.2699999999999996</c:v>
                </c:pt>
                <c:pt idx="7">
                  <c:v>4.2</c:v>
                </c:pt>
                <c:pt idx="8">
                  <c:v>4.2699999999999996</c:v>
                </c:pt>
                <c:pt idx="9">
                  <c:v>4.17</c:v>
                </c:pt>
                <c:pt idx="10">
                  <c:v>4.12</c:v>
                </c:pt>
                <c:pt idx="11">
                  <c:v>4.24</c:v>
                </c:pt>
                <c:pt idx="12">
                  <c:v>4.33</c:v>
                </c:pt>
                <c:pt idx="13">
                  <c:v>4.26</c:v>
                </c:pt>
                <c:pt idx="14">
                  <c:v>4.2</c:v>
                </c:pt>
                <c:pt idx="15">
                  <c:v>4.1399999999999997</c:v>
                </c:pt>
                <c:pt idx="16">
                  <c:v>4.2</c:v>
                </c:pt>
                <c:pt idx="17">
                  <c:v>4.18</c:v>
                </c:pt>
                <c:pt idx="18">
                  <c:v>4.13</c:v>
                </c:pt>
                <c:pt idx="19">
                  <c:v>4.13</c:v>
                </c:pt>
                <c:pt idx="20">
                  <c:v>4.07</c:v>
                </c:pt>
                <c:pt idx="21">
                  <c:v>3.97</c:v>
                </c:pt>
                <c:pt idx="22">
                  <c:v>4</c:v>
                </c:pt>
                <c:pt idx="23">
                  <c:v>4.1399999999999997</c:v>
                </c:pt>
                <c:pt idx="24">
                  <c:v>4.09</c:v>
                </c:pt>
                <c:pt idx="25">
                  <c:v>3.84</c:v>
                </c:pt>
                <c:pt idx="26">
                  <c:v>3.95</c:v>
                </c:pt>
                <c:pt idx="27">
                  <c:v>4</c:v>
                </c:pt>
                <c:pt idx="28">
                  <c:v>3.85</c:v>
                </c:pt>
                <c:pt idx="29">
                  <c:v>3.95</c:v>
                </c:pt>
                <c:pt idx="30">
                  <c:v>3.93</c:v>
                </c:pt>
                <c:pt idx="31">
                  <c:v>3.9</c:v>
                </c:pt>
                <c:pt idx="32">
                  <c:v>3.81</c:v>
                </c:pt>
                <c:pt idx="33">
                  <c:v>3.91</c:v>
                </c:pt>
                <c:pt idx="34">
                  <c:v>3.97</c:v>
                </c:pt>
                <c:pt idx="35">
                  <c:v>3.95</c:v>
                </c:pt>
                <c:pt idx="36">
                  <c:v>4.0199999999999996</c:v>
                </c:pt>
                <c:pt idx="37">
                  <c:v>4.0199999999999996</c:v>
                </c:pt>
                <c:pt idx="38">
                  <c:v>4.1500000000000004</c:v>
                </c:pt>
                <c:pt idx="39">
                  <c:v>4.07</c:v>
                </c:pt>
                <c:pt idx="40">
                  <c:v>4.03</c:v>
                </c:pt>
                <c:pt idx="41">
                  <c:v>3.94</c:v>
                </c:pt>
                <c:pt idx="42">
                  <c:v>3.85</c:v>
                </c:pt>
                <c:pt idx="43">
                  <c:v>4.26</c:v>
                </c:pt>
                <c:pt idx="44">
                  <c:v>4.1900000000000004</c:v>
                </c:pt>
                <c:pt idx="45">
                  <c:v>4.1399999999999997</c:v>
                </c:pt>
                <c:pt idx="46">
                  <c:v>4.0599999999999996</c:v>
                </c:pt>
                <c:pt idx="47">
                  <c:v>3.98</c:v>
                </c:pt>
                <c:pt idx="48">
                  <c:v>3.99</c:v>
                </c:pt>
                <c:pt idx="49">
                  <c:v>4.07</c:v>
                </c:pt>
                <c:pt idx="50">
                  <c:v>3.97</c:v>
                </c:pt>
                <c:pt idx="51">
                  <c:v>3.99</c:v>
                </c:pt>
                <c:pt idx="52">
                  <c:v>4.2</c:v>
                </c:pt>
                <c:pt idx="53">
                  <c:v>4.1900000000000004</c:v>
                </c:pt>
                <c:pt idx="54">
                  <c:v>4.41</c:v>
                </c:pt>
                <c:pt idx="55">
                  <c:v>4.4400000000000004</c:v>
                </c:pt>
                <c:pt idx="56">
                  <c:v>4.32</c:v>
                </c:pt>
                <c:pt idx="57">
                  <c:v>4.32</c:v>
                </c:pt>
                <c:pt idx="58">
                  <c:v>4.37</c:v>
                </c:pt>
                <c:pt idx="59">
                  <c:v>4.41</c:v>
                </c:pt>
                <c:pt idx="60">
                  <c:v>4.3099999999999996</c:v>
                </c:pt>
                <c:pt idx="61">
                  <c:v>4.38</c:v>
                </c:pt>
                <c:pt idx="62">
                  <c:v>4.4000000000000004</c:v>
                </c:pt>
                <c:pt idx="63">
                  <c:v>4.32</c:v>
                </c:pt>
                <c:pt idx="64">
                  <c:v>4.33</c:v>
                </c:pt>
                <c:pt idx="65">
                  <c:v>4.4800000000000004</c:v>
                </c:pt>
                <c:pt idx="66">
                  <c:v>4.49</c:v>
                </c:pt>
                <c:pt idx="67">
                  <c:v>4.45</c:v>
                </c:pt>
                <c:pt idx="68">
                  <c:v>4.33</c:v>
                </c:pt>
                <c:pt idx="69">
                  <c:v>4.3499999999999996</c:v>
                </c:pt>
                <c:pt idx="70">
                  <c:v>4.46</c:v>
                </c:pt>
                <c:pt idx="71">
                  <c:v>4.58</c:v>
                </c:pt>
                <c:pt idx="72">
                  <c:v>4.3600000000000003</c:v>
                </c:pt>
                <c:pt idx="73">
                  <c:v>4.3600000000000003</c:v>
                </c:pt>
                <c:pt idx="74">
                  <c:v>4.37</c:v>
                </c:pt>
                <c:pt idx="75">
                  <c:v>4.3600000000000003</c:v>
                </c:pt>
                <c:pt idx="76">
                  <c:v>4.3499999999999996</c:v>
                </c:pt>
                <c:pt idx="77">
                  <c:v>4.22</c:v>
                </c:pt>
                <c:pt idx="78">
                  <c:v>4.1900000000000004</c:v>
                </c:pt>
                <c:pt idx="79">
                  <c:v>4.24</c:v>
                </c:pt>
                <c:pt idx="80">
                  <c:v>4.2699999999999996</c:v>
                </c:pt>
                <c:pt idx="81">
                  <c:v>4.1900000000000004</c:v>
                </c:pt>
                <c:pt idx="82">
                  <c:v>4.17</c:v>
                </c:pt>
                <c:pt idx="83">
                  <c:v>4.12</c:v>
                </c:pt>
                <c:pt idx="84">
                  <c:v>4.1399999999999997</c:v>
                </c:pt>
                <c:pt idx="85">
                  <c:v>4.18</c:v>
                </c:pt>
                <c:pt idx="86">
                  <c:v>4.28</c:v>
                </c:pt>
                <c:pt idx="87">
                  <c:v>4.45</c:v>
                </c:pt>
                <c:pt idx="88">
                  <c:v>4.57</c:v>
                </c:pt>
                <c:pt idx="89">
                  <c:v>4.5</c:v>
                </c:pt>
                <c:pt idx="90">
                  <c:v>4.4000000000000004</c:v>
                </c:pt>
                <c:pt idx="91">
                  <c:v>4.3499999999999996</c:v>
                </c:pt>
                <c:pt idx="92">
                  <c:v>4.45</c:v>
                </c:pt>
                <c:pt idx="93">
                  <c:v>4.66</c:v>
                </c:pt>
                <c:pt idx="94">
                  <c:v>4.5599999999999996</c:v>
                </c:pt>
                <c:pt idx="95">
                  <c:v>4.66</c:v>
                </c:pt>
                <c:pt idx="96">
                  <c:v>4.68</c:v>
                </c:pt>
                <c:pt idx="97">
                  <c:v>4.5250000000000004</c:v>
                </c:pt>
                <c:pt idx="98">
                  <c:v>4.6900000000000004</c:v>
                </c:pt>
                <c:pt idx="99">
                  <c:v>4.82</c:v>
                </c:pt>
                <c:pt idx="100">
                  <c:v>4.83</c:v>
                </c:pt>
                <c:pt idx="101">
                  <c:v>5.19</c:v>
                </c:pt>
                <c:pt idx="102">
                  <c:v>5.23</c:v>
                </c:pt>
                <c:pt idx="103">
                  <c:v>5.0999999999999996</c:v>
                </c:pt>
                <c:pt idx="104">
                  <c:v>4.97</c:v>
                </c:pt>
                <c:pt idx="105">
                  <c:v>4.8899999999999997</c:v>
                </c:pt>
                <c:pt idx="106">
                  <c:v>4.84</c:v>
                </c:pt>
                <c:pt idx="107">
                  <c:v>5.04</c:v>
                </c:pt>
                <c:pt idx="108">
                  <c:v>5.04</c:v>
                </c:pt>
                <c:pt idx="109">
                  <c:v>5.0999999999999996</c:v>
                </c:pt>
                <c:pt idx="110">
                  <c:v>5.0999999999999996</c:v>
                </c:pt>
                <c:pt idx="111">
                  <c:v>5.35</c:v>
                </c:pt>
                <c:pt idx="112">
                  <c:v>5.55</c:v>
                </c:pt>
                <c:pt idx="113">
                  <c:v>5.64</c:v>
                </c:pt>
                <c:pt idx="114">
                  <c:v>5.68</c:v>
                </c:pt>
                <c:pt idx="115">
                  <c:v>5.77</c:v>
                </c:pt>
                <c:pt idx="116">
                  <c:v>5.7</c:v>
                </c:pt>
                <c:pt idx="117">
                  <c:v>5.64</c:v>
                </c:pt>
                <c:pt idx="118">
                  <c:v>5.69</c:v>
                </c:pt>
                <c:pt idx="119">
                  <c:v>5.67</c:v>
                </c:pt>
                <c:pt idx="120">
                  <c:v>5.64</c:v>
                </c:pt>
                <c:pt idx="121">
                  <c:v>5.49</c:v>
                </c:pt>
                <c:pt idx="122">
                  <c:v>5.43</c:v>
                </c:pt>
                <c:pt idx="123">
                  <c:v>5.32</c:v>
                </c:pt>
                <c:pt idx="124">
                  <c:v>5.37</c:v>
                </c:pt>
                <c:pt idx="125">
                  <c:v>5.32</c:v>
                </c:pt>
                <c:pt idx="126">
                  <c:v>5.34</c:v>
                </c:pt>
                <c:pt idx="127">
                  <c:v>5.37</c:v>
                </c:pt>
                <c:pt idx="128">
                  <c:v>5.39</c:v>
                </c:pt>
                <c:pt idx="129">
                  <c:v>5.4</c:v>
                </c:pt>
                <c:pt idx="130">
                  <c:v>5.44</c:v>
                </c:pt>
                <c:pt idx="131">
                  <c:v>5.31</c:v>
                </c:pt>
                <c:pt idx="132">
                  <c:v>5.39</c:v>
                </c:pt>
                <c:pt idx="133">
                  <c:v>5.35</c:v>
                </c:pt>
                <c:pt idx="134">
                  <c:v>5.33</c:v>
                </c:pt>
                <c:pt idx="135">
                  <c:v>5.32</c:v>
                </c:pt>
                <c:pt idx="136">
                  <c:v>5.39</c:v>
                </c:pt>
                <c:pt idx="137">
                  <c:v>5.34</c:v>
                </c:pt>
                <c:pt idx="138">
                  <c:v>5.28</c:v>
                </c:pt>
                <c:pt idx="139">
                  <c:v>5.25</c:v>
                </c:pt>
                <c:pt idx="140">
                  <c:v>5.22</c:v>
                </c:pt>
                <c:pt idx="141">
                  <c:v>5.36</c:v>
                </c:pt>
                <c:pt idx="142">
                  <c:v>5.25</c:v>
                </c:pt>
                <c:pt idx="143">
                  <c:v>5.2</c:v>
                </c:pt>
                <c:pt idx="144">
                  <c:v>5.16</c:v>
                </c:pt>
                <c:pt idx="145">
                  <c:v>5.0999999999999996</c:v>
                </c:pt>
                <c:pt idx="146">
                  <c:v>5.1100000000000003</c:v>
                </c:pt>
                <c:pt idx="147">
                  <c:v>5.01</c:v>
                </c:pt>
                <c:pt idx="148">
                  <c:v>4.99</c:v>
                </c:pt>
                <c:pt idx="149">
                  <c:v>5</c:v>
                </c:pt>
                <c:pt idx="150">
                  <c:v>5.0350000000000001</c:v>
                </c:pt>
                <c:pt idx="151">
                  <c:v>4.95</c:v>
                </c:pt>
                <c:pt idx="152">
                  <c:v>4.9000000000000004</c:v>
                </c:pt>
                <c:pt idx="153">
                  <c:v>4.9000000000000004</c:v>
                </c:pt>
                <c:pt idx="154">
                  <c:v>4.8499999999999996</c:v>
                </c:pt>
                <c:pt idx="155">
                  <c:v>4.97</c:v>
                </c:pt>
                <c:pt idx="156">
                  <c:v>4.9800000000000004</c:v>
                </c:pt>
                <c:pt idx="157">
                  <c:v>5.1100000000000003</c:v>
                </c:pt>
                <c:pt idx="158">
                  <c:v>4.9800000000000004</c:v>
                </c:pt>
                <c:pt idx="159">
                  <c:v>4.92</c:v>
                </c:pt>
                <c:pt idx="160">
                  <c:v>4.9800000000000004</c:v>
                </c:pt>
                <c:pt idx="161">
                  <c:v>5.05</c:v>
                </c:pt>
                <c:pt idx="162">
                  <c:v>5.0999999999999996</c:v>
                </c:pt>
                <c:pt idx="163">
                  <c:v>5.0999999999999996</c:v>
                </c:pt>
                <c:pt idx="164">
                  <c:v>5.3</c:v>
                </c:pt>
                <c:pt idx="165">
                  <c:v>5.35</c:v>
                </c:pt>
                <c:pt idx="166">
                  <c:v>5.39</c:v>
                </c:pt>
                <c:pt idx="167">
                  <c:v>5.3</c:v>
                </c:pt>
                <c:pt idx="168">
                  <c:v>5.13</c:v>
                </c:pt>
                <c:pt idx="169">
                  <c:v>6.27</c:v>
                </c:pt>
                <c:pt idx="170">
                  <c:v>6.34</c:v>
                </c:pt>
                <c:pt idx="171">
                  <c:v>6.54</c:v>
                </c:pt>
                <c:pt idx="172">
                  <c:v>6.44</c:v>
                </c:pt>
                <c:pt idx="173">
                  <c:v>6.3550000000000004</c:v>
                </c:pt>
                <c:pt idx="174">
                  <c:v>6.21</c:v>
                </c:pt>
                <c:pt idx="175">
                  <c:v>6</c:v>
                </c:pt>
                <c:pt idx="176">
                  <c:v>5.82</c:v>
                </c:pt>
                <c:pt idx="177">
                  <c:v>5.64</c:v>
                </c:pt>
                <c:pt idx="178">
                  <c:v>5.47</c:v>
                </c:pt>
                <c:pt idx="179">
                  <c:v>5.62</c:v>
                </c:pt>
                <c:pt idx="180">
                  <c:v>5.6849999999999996</c:v>
                </c:pt>
                <c:pt idx="181">
                  <c:v>5.79</c:v>
                </c:pt>
                <c:pt idx="182">
                  <c:v>5.78</c:v>
                </c:pt>
                <c:pt idx="183">
                  <c:v>5.82</c:v>
                </c:pt>
                <c:pt idx="184">
                  <c:v>5.99</c:v>
                </c:pt>
                <c:pt idx="185">
                  <c:v>5.91</c:v>
                </c:pt>
                <c:pt idx="186">
                  <c:v>5.8</c:v>
                </c:pt>
                <c:pt idx="187">
                  <c:v>5.9</c:v>
                </c:pt>
                <c:pt idx="188">
                  <c:v>5.95</c:v>
                </c:pt>
                <c:pt idx="189">
                  <c:v>5.9</c:v>
                </c:pt>
                <c:pt idx="190">
                  <c:v>5.97</c:v>
                </c:pt>
                <c:pt idx="191">
                  <c:v>5.95</c:v>
                </c:pt>
                <c:pt idx="192">
                  <c:v>5.92</c:v>
                </c:pt>
                <c:pt idx="193">
                  <c:v>6</c:v>
                </c:pt>
                <c:pt idx="194">
                  <c:v>5.78</c:v>
                </c:pt>
                <c:pt idx="195">
                  <c:v>5.6349999999999998</c:v>
                </c:pt>
                <c:pt idx="196">
                  <c:v>5.29</c:v>
                </c:pt>
                <c:pt idx="197">
                  <c:v>5.1100000000000003</c:v>
                </c:pt>
                <c:pt idx="198">
                  <c:v>5.0599999999999996</c:v>
                </c:pt>
                <c:pt idx="199">
                  <c:v>5.4</c:v>
                </c:pt>
                <c:pt idx="200">
                  <c:v>5.3</c:v>
                </c:pt>
                <c:pt idx="201">
                  <c:v>5.32</c:v>
                </c:pt>
                <c:pt idx="202">
                  <c:v>5.26</c:v>
                </c:pt>
                <c:pt idx="203">
                  <c:v>5.0199999999999996</c:v>
                </c:pt>
                <c:pt idx="204">
                  <c:v>5.0999999999999996</c:v>
                </c:pt>
                <c:pt idx="205">
                  <c:v>5.01</c:v>
                </c:pt>
                <c:pt idx="206">
                  <c:v>5.3</c:v>
                </c:pt>
                <c:pt idx="207">
                  <c:v>5.3</c:v>
                </c:pt>
                <c:pt idx="208">
                  <c:v>5.3</c:v>
                </c:pt>
                <c:pt idx="209">
                  <c:v>5.46</c:v>
                </c:pt>
                <c:pt idx="210">
                  <c:v>5.28</c:v>
                </c:pt>
                <c:pt idx="211">
                  <c:v>5.32</c:v>
                </c:pt>
                <c:pt idx="212">
                  <c:v>5.34</c:v>
                </c:pt>
                <c:pt idx="213">
                  <c:v>5.33</c:v>
                </c:pt>
                <c:pt idx="214">
                  <c:v>5.26</c:v>
                </c:pt>
                <c:pt idx="215">
                  <c:v>5.53</c:v>
                </c:pt>
                <c:pt idx="216">
                  <c:v>5.55</c:v>
                </c:pt>
                <c:pt idx="217">
                  <c:v>5.72</c:v>
                </c:pt>
                <c:pt idx="218">
                  <c:v>5.89</c:v>
                </c:pt>
                <c:pt idx="219">
                  <c:v>6.1849999999999996</c:v>
                </c:pt>
                <c:pt idx="220">
                  <c:v>6.26</c:v>
                </c:pt>
                <c:pt idx="221">
                  <c:v>6.25</c:v>
                </c:pt>
                <c:pt idx="222">
                  <c:v>6.21</c:v>
                </c:pt>
                <c:pt idx="223">
                  <c:v>6.1</c:v>
                </c:pt>
                <c:pt idx="224">
                  <c:v>6.09</c:v>
                </c:pt>
                <c:pt idx="225">
                  <c:v>6.08</c:v>
                </c:pt>
                <c:pt idx="226">
                  <c:v>6.04</c:v>
                </c:pt>
                <c:pt idx="227">
                  <c:v>6</c:v>
                </c:pt>
                <c:pt idx="228">
                  <c:v>5.93</c:v>
                </c:pt>
                <c:pt idx="229">
                  <c:v>5.99</c:v>
                </c:pt>
                <c:pt idx="230">
                  <c:v>5.91</c:v>
                </c:pt>
                <c:pt idx="231">
                  <c:v>5.91</c:v>
                </c:pt>
                <c:pt idx="232">
                  <c:v>5.95</c:v>
                </c:pt>
                <c:pt idx="233">
                  <c:v>6.01</c:v>
                </c:pt>
                <c:pt idx="234">
                  <c:v>6.15</c:v>
                </c:pt>
                <c:pt idx="235">
                  <c:v>6.3</c:v>
                </c:pt>
                <c:pt idx="236">
                  <c:v>6.25</c:v>
                </c:pt>
                <c:pt idx="237">
                  <c:v>6.21</c:v>
                </c:pt>
                <c:pt idx="238">
                  <c:v>6.17</c:v>
                </c:pt>
                <c:pt idx="239">
                  <c:v>6.09</c:v>
                </c:pt>
                <c:pt idx="240">
                  <c:v>6.15</c:v>
                </c:pt>
                <c:pt idx="241">
                  <c:v>6.13</c:v>
                </c:pt>
                <c:pt idx="242">
                  <c:v>6.1</c:v>
                </c:pt>
                <c:pt idx="243">
                  <c:v>6.11</c:v>
                </c:pt>
                <c:pt idx="244">
                  <c:v>6.05</c:v>
                </c:pt>
                <c:pt idx="245">
                  <c:v>6.11</c:v>
                </c:pt>
                <c:pt idx="246">
                  <c:v>6.13</c:v>
                </c:pt>
                <c:pt idx="247">
                  <c:v>6.24</c:v>
                </c:pt>
                <c:pt idx="248">
                  <c:v>6.21</c:v>
                </c:pt>
                <c:pt idx="249">
                  <c:v>6.29</c:v>
                </c:pt>
                <c:pt idx="250">
                  <c:v>6.29</c:v>
                </c:pt>
                <c:pt idx="251">
                  <c:v>6.33</c:v>
                </c:pt>
                <c:pt idx="252">
                  <c:v>6.45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98-5B46-B365-3B71125538C7}"/>
            </c:ext>
          </c:extLst>
        </c:ser>
        <c:ser>
          <c:idx val="2"/>
          <c:order val="2"/>
          <c:tx>
            <c:strRef>
              <c:f>'AEF-keep'!$F$1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'AEF-keep'!$C$2:$C$254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'AEF-keep'!$F$2:$F$254</c:f>
              <c:numCache>
                <c:formatCode>"$"#,##0.00</c:formatCode>
                <c:ptCount val="253"/>
                <c:pt idx="0">
                  <c:v>4.18</c:v>
                </c:pt>
                <c:pt idx="1">
                  <c:v>4.2</c:v>
                </c:pt>
                <c:pt idx="2">
                  <c:v>4.17</c:v>
                </c:pt>
                <c:pt idx="3">
                  <c:v>4.13</c:v>
                </c:pt>
                <c:pt idx="4">
                  <c:v>4.13</c:v>
                </c:pt>
                <c:pt idx="5">
                  <c:v>4.17</c:v>
                </c:pt>
                <c:pt idx="6">
                  <c:v>4</c:v>
                </c:pt>
                <c:pt idx="7">
                  <c:v>3.91</c:v>
                </c:pt>
                <c:pt idx="8">
                  <c:v>4.01</c:v>
                </c:pt>
                <c:pt idx="9">
                  <c:v>4.03</c:v>
                </c:pt>
                <c:pt idx="10">
                  <c:v>4</c:v>
                </c:pt>
                <c:pt idx="11">
                  <c:v>3.96</c:v>
                </c:pt>
                <c:pt idx="12">
                  <c:v>4.1900000000000004</c:v>
                </c:pt>
                <c:pt idx="13">
                  <c:v>4.1500000000000004</c:v>
                </c:pt>
                <c:pt idx="14">
                  <c:v>4.07</c:v>
                </c:pt>
                <c:pt idx="15">
                  <c:v>4.0199999999999996</c:v>
                </c:pt>
                <c:pt idx="16">
                  <c:v>4.03</c:v>
                </c:pt>
                <c:pt idx="17">
                  <c:v>4.04</c:v>
                </c:pt>
                <c:pt idx="18">
                  <c:v>3.93</c:v>
                </c:pt>
                <c:pt idx="19">
                  <c:v>4.03</c:v>
                </c:pt>
                <c:pt idx="20">
                  <c:v>3.96</c:v>
                </c:pt>
                <c:pt idx="21">
                  <c:v>3.89</c:v>
                </c:pt>
                <c:pt idx="22">
                  <c:v>3.9</c:v>
                </c:pt>
                <c:pt idx="23">
                  <c:v>4</c:v>
                </c:pt>
                <c:pt idx="24">
                  <c:v>3.78</c:v>
                </c:pt>
                <c:pt idx="25">
                  <c:v>3.63</c:v>
                </c:pt>
                <c:pt idx="26">
                  <c:v>3.7</c:v>
                </c:pt>
                <c:pt idx="27">
                  <c:v>3.79</c:v>
                </c:pt>
                <c:pt idx="28">
                  <c:v>3.71</c:v>
                </c:pt>
                <c:pt idx="29">
                  <c:v>3.73</c:v>
                </c:pt>
                <c:pt idx="30">
                  <c:v>3.83</c:v>
                </c:pt>
                <c:pt idx="31">
                  <c:v>3.72</c:v>
                </c:pt>
                <c:pt idx="32">
                  <c:v>3.74</c:v>
                </c:pt>
                <c:pt idx="33">
                  <c:v>3.76</c:v>
                </c:pt>
                <c:pt idx="34">
                  <c:v>3.84</c:v>
                </c:pt>
                <c:pt idx="35">
                  <c:v>3.83</c:v>
                </c:pt>
                <c:pt idx="36">
                  <c:v>3.89</c:v>
                </c:pt>
                <c:pt idx="37">
                  <c:v>3.88</c:v>
                </c:pt>
                <c:pt idx="38">
                  <c:v>3.99</c:v>
                </c:pt>
                <c:pt idx="39">
                  <c:v>3.89</c:v>
                </c:pt>
                <c:pt idx="40">
                  <c:v>3.9</c:v>
                </c:pt>
                <c:pt idx="41">
                  <c:v>3.85</c:v>
                </c:pt>
                <c:pt idx="42">
                  <c:v>3.75</c:v>
                </c:pt>
                <c:pt idx="43">
                  <c:v>4.0199999999999996</c:v>
                </c:pt>
                <c:pt idx="44">
                  <c:v>4.09</c:v>
                </c:pt>
                <c:pt idx="45">
                  <c:v>4.03</c:v>
                </c:pt>
                <c:pt idx="46">
                  <c:v>3.94</c:v>
                </c:pt>
                <c:pt idx="47">
                  <c:v>3.88</c:v>
                </c:pt>
                <c:pt idx="48">
                  <c:v>3.84</c:v>
                </c:pt>
                <c:pt idx="49">
                  <c:v>3.81</c:v>
                </c:pt>
                <c:pt idx="50">
                  <c:v>3.78</c:v>
                </c:pt>
                <c:pt idx="51">
                  <c:v>3.9</c:v>
                </c:pt>
                <c:pt idx="52">
                  <c:v>3.79</c:v>
                </c:pt>
                <c:pt idx="53">
                  <c:v>4.04</c:v>
                </c:pt>
                <c:pt idx="54">
                  <c:v>4.1500000000000004</c:v>
                </c:pt>
                <c:pt idx="55">
                  <c:v>4.29</c:v>
                </c:pt>
                <c:pt idx="56">
                  <c:v>4.07</c:v>
                </c:pt>
                <c:pt idx="57">
                  <c:v>4.17</c:v>
                </c:pt>
                <c:pt idx="58">
                  <c:v>4.1500000000000004</c:v>
                </c:pt>
                <c:pt idx="59">
                  <c:v>4.21</c:v>
                </c:pt>
                <c:pt idx="60">
                  <c:v>4.25</c:v>
                </c:pt>
                <c:pt idx="61">
                  <c:v>4.22</c:v>
                </c:pt>
                <c:pt idx="62">
                  <c:v>4.22</c:v>
                </c:pt>
                <c:pt idx="63">
                  <c:v>4.2</c:v>
                </c:pt>
                <c:pt idx="64">
                  <c:v>4.2</c:v>
                </c:pt>
                <c:pt idx="65">
                  <c:v>4.28</c:v>
                </c:pt>
                <c:pt idx="66">
                  <c:v>4.34</c:v>
                </c:pt>
                <c:pt idx="67">
                  <c:v>4.26</c:v>
                </c:pt>
                <c:pt idx="68">
                  <c:v>4.18</c:v>
                </c:pt>
                <c:pt idx="69">
                  <c:v>4.24</c:v>
                </c:pt>
                <c:pt idx="70">
                  <c:v>4.3</c:v>
                </c:pt>
                <c:pt idx="71">
                  <c:v>4.25</c:v>
                </c:pt>
                <c:pt idx="72">
                  <c:v>4.2300000000000004</c:v>
                </c:pt>
                <c:pt idx="73">
                  <c:v>4.26</c:v>
                </c:pt>
                <c:pt idx="74">
                  <c:v>4.28</c:v>
                </c:pt>
                <c:pt idx="75">
                  <c:v>4.26</c:v>
                </c:pt>
                <c:pt idx="76">
                  <c:v>4.1500000000000004</c:v>
                </c:pt>
                <c:pt idx="77">
                  <c:v>4.03</c:v>
                </c:pt>
                <c:pt idx="78">
                  <c:v>4.09</c:v>
                </c:pt>
                <c:pt idx="79">
                  <c:v>4.07</c:v>
                </c:pt>
                <c:pt idx="80">
                  <c:v>4.07</c:v>
                </c:pt>
                <c:pt idx="81">
                  <c:v>4.0999999999999996</c:v>
                </c:pt>
                <c:pt idx="82">
                  <c:v>4.05</c:v>
                </c:pt>
                <c:pt idx="83">
                  <c:v>4.03</c:v>
                </c:pt>
                <c:pt idx="84">
                  <c:v>4.0199999999999996</c:v>
                </c:pt>
                <c:pt idx="85">
                  <c:v>4.01</c:v>
                </c:pt>
                <c:pt idx="86">
                  <c:v>4.1100000000000003</c:v>
                </c:pt>
                <c:pt idx="87">
                  <c:v>4.26</c:v>
                </c:pt>
                <c:pt idx="88">
                  <c:v>4.38</c:v>
                </c:pt>
                <c:pt idx="89">
                  <c:v>4.32</c:v>
                </c:pt>
                <c:pt idx="90">
                  <c:v>4.3</c:v>
                </c:pt>
                <c:pt idx="91">
                  <c:v>4.26</c:v>
                </c:pt>
                <c:pt idx="92">
                  <c:v>4.33</c:v>
                </c:pt>
                <c:pt idx="93">
                  <c:v>4.42</c:v>
                </c:pt>
                <c:pt idx="94">
                  <c:v>4.4800000000000004</c:v>
                </c:pt>
                <c:pt idx="95">
                  <c:v>4.5</c:v>
                </c:pt>
                <c:pt idx="96">
                  <c:v>4.5</c:v>
                </c:pt>
                <c:pt idx="97">
                  <c:v>4.45</c:v>
                </c:pt>
                <c:pt idx="98">
                  <c:v>4.51</c:v>
                </c:pt>
                <c:pt idx="99">
                  <c:v>4.55</c:v>
                </c:pt>
                <c:pt idx="100">
                  <c:v>4.62</c:v>
                </c:pt>
                <c:pt idx="101">
                  <c:v>4.8</c:v>
                </c:pt>
                <c:pt idx="102">
                  <c:v>4.9000000000000004</c:v>
                </c:pt>
                <c:pt idx="103">
                  <c:v>4.83</c:v>
                </c:pt>
                <c:pt idx="104">
                  <c:v>4.84</c:v>
                </c:pt>
                <c:pt idx="105">
                  <c:v>4.75</c:v>
                </c:pt>
                <c:pt idx="106">
                  <c:v>4.74</c:v>
                </c:pt>
                <c:pt idx="107">
                  <c:v>4.8099999999999996</c:v>
                </c:pt>
                <c:pt idx="108">
                  <c:v>4.93</c:v>
                </c:pt>
                <c:pt idx="109">
                  <c:v>4.91</c:v>
                </c:pt>
                <c:pt idx="110">
                  <c:v>4.9400000000000004</c:v>
                </c:pt>
                <c:pt idx="111">
                  <c:v>4.92</c:v>
                </c:pt>
                <c:pt idx="112">
                  <c:v>5.29</c:v>
                </c:pt>
                <c:pt idx="113">
                  <c:v>5.36</c:v>
                </c:pt>
                <c:pt idx="114">
                  <c:v>5.58</c:v>
                </c:pt>
                <c:pt idx="115">
                  <c:v>5.62</c:v>
                </c:pt>
                <c:pt idx="116">
                  <c:v>5.49</c:v>
                </c:pt>
                <c:pt idx="117">
                  <c:v>5.5250000000000004</c:v>
                </c:pt>
                <c:pt idx="118">
                  <c:v>5.58</c:v>
                </c:pt>
                <c:pt idx="119">
                  <c:v>5.55</c:v>
                </c:pt>
                <c:pt idx="120">
                  <c:v>5.39</c:v>
                </c:pt>
                <c:pt idx="121">
                  <c:v>5.335</c:v>
                </c:pt>
                <c:pt idx="122">
                  <c:v>5.33</c:v>
                </c:pt>
                <c:pt idx="123">
                  <c:v>5.1100000000000003</c:v>
                </c:pt>
                <c:pt idx="124">
                  <c:v>5.04</c:v>
                </c:pt>
                <c:pt idx="125">
                  <c:v>5.18</c:v>
                </c:pt>
                <c:pt idx="126">
                  <c:v>5.25</c:v>
                </c:pt>
                <c:pt idx="127">
                  <c:v>5.22</c:v>
                </c:pt>
                <c:pt idx="128">
                  <c:v>5.24</c:v>
                </c:pt>
                <c:pt idx="129">
                  <c:v>5.34</c:v>
                </c:pt>
                <c:pt idx="130">
                  <c:v>5.2</c:v>
                </c:pt>
                <c:pt idx="131">
                  <c:v>5.22</c:v>
                </c:pt>
                <c:pt idx="132">
                  <c:v>5.15</c:v>
                </c:pt>
                <c:pt idx="133">
                  <c:v>5.0999999999999996</c:v>
                </c:pt>
                <c:pt idx="134">
                  <c:v>5.13</c:v>
                </c:pt>
                <c:pt idx="135">
                  <c:v>5.24</c:v>
                </c:pt>
                <c:pt idx="136">
                  <c:v>5.2</c:v>
                </c:pt>
                <c:pt idx="137">
                  <c:v>5.19</c:v>
                </c:pt>
                <c:pt idx="138">
                  <c:v>5.12</c:v>
                </c:pt>
                <c:pt idx="139">
                  <c:v>5.09</c:v>
                </c:pt>
                <c:pt idx="140">
                  <c:v>5.16</c:v>
                </c:pt>
                <c:pt idx="141">
                  <c:v>5.15</c:v>
                </c:pt>
                <c:pt idx="142">
                  <c:v>5.03</c:v>
                </c:pt>
                <c:pt idx="143">
                  <c:v>5</c:v>
                </c:pt>
                <c:pt idx="144">
                  <c:v>5.01</c:v>
                </c:pt>
                <c:pt idx="145">
                  <c:v>4.92</c:v>
                </c:pt>
                <c:pt idx="146">
                  <c:v>4.9400000000000004</c:v>
                </c:pt>
                <c:pt idx="147">
                  <c:v>4.92</c:v>
                </c:pt>
                <c:pt idx="148">
                  <c:v>4.8150000000000004</c:v>
                </c:pt>
                <c:pt idx="149">
                  <c:v>4.92</c:v>
                </c:pt>
                <c:pt idx="150">
                  <c:v>4.9400000000000004</c:v>
                </c:pt>
                <c:pt idx="151">
                  <c:v>4.83</c:v>
                </c:pt>
                <c:pt idx="152">
                  <c:v>4.82</c:v>
                </c:pt>
                <c:pt idx="153">
                  <c:v>4.76</c:v>
                </c:pt>
                <c:pt idx="154">
                  <c:v>4.53</c:v>
                </c:pt>
                <c:pt idx="155">
                  <c:v>4.67</c:v>
                </c:pt>
                <c:pt idx="156">
                  <c:v>4.9000000000000004</c:v>
                </c:pt>
                <c:pt idx="157">
                  <c:v>4.97</c:v>
                </c:pt>
                <c:pt idx="158">
                  <c:v>4.8499999999999996</c:v>
                </c:pt>
                <c:pt idx="159">
                  <c:v>4.8600000000000003</c:v>
                </c:pt>
                <c:pt idx="160">
                  <c:v>4.87</c:v>
                </c:pt>
                <c:pt idx="161">
                  <c:v>4.97</c:v>
                </c:pt>
                <c:pt idx="162">
                  <c:v>4.9000000000000004</c:v>
                </c:pt>
                <c:pt idx="163">
                  <c:v>4.91</c:v>
                </c:pt>
                <c:pt idx="164">
                  <c:v>5.03</c:v>
                </c:pt>
                <c:pt idx="165">
                  <c:v>5.24</c:v>
                </c:pt>
                <c:pt idx="166">
                  <c:v>5.19</c:v>
                </c:pt>
                <c:pt idx="167">
                  <c:v>5.09</c:v>
                </c:pt>
                <c:pt idx="168">
                  <c:v>4.9800000000000004</c:v>
                </c:pt>
                <c:pt idx="169">
                  <c:v>5.25</c:v>
                </c:pt>
                <c:pt idx="170">
                  <c:v>6.12</c:v>
                </c:pt>
                <c:pt idx="171">
                  <c:v>6.26</c:v>
                </c:pt>
                <c:pt idx="172">
                  <c:v>6.33</c:v>
                </c:pt>
                <c:pt idx="173">
                  <c:v>6</c:v>
                </c:pt>
                <c:pt idx="174">
                  <c:v>6.02</c:v>
                </c:pt>
                <c:pt idx="175">
                  <c:v>5.68</c:v>
                </c:pt>
                <c:pt idx="176">
                  <c:v>5.59</c:v>
                </c:pt>
                <c:pt idx="177">
                  <c:v>5.23</c:v>
                </c:pt>
                <c:pt idx="178">
                  <c:v>5.12</c:v>
                </c:pt>
                <c:pt idx="179">
                  <c:v>5.35</c:v>
                </c:pt>
                <c:pt idx="180">
                  <c:v>5.5</c:v>
                </c:pt>
                <c:pt idx="181">
                  <c:v>5.62</c:v>
                </c:pt>
                <c:pt idx="182">
                  <c:v>5.49</c:v>
                </c:pt>
                <c:pt idx="183">
                  <c:v>5.56</c:v>
                </c:pt>
                <c:pt idx="184">
                  <c:v>5.71</c:v>
                </c:pt>
                <c:pt idx="185">
                  <c:v>5.74</c:v>
                </c:pt>
                <c:pt idx="186">
                  <c:v>5.65</c:v>
                </c:pt>
                <c:pt idx="187">
                  <c:v>5.76</c:v>
                </c:pt>
                <c:pt idx="188">
                  <c:v>5.83</c:v>
                </c:pt>
                <c:pt idx="189">
                  <c:v>5.8</c:v>
                </c:pt>
                <c:pt idx="190">
                  <c:v>5.77</c:v>
                </c:pt>
                <c:pt idx="191">
                  <c:v>5.82</c:v>
                </c:pt>
                <c:pt idx="192">
                  <c:v>5.8</c:v>
                </c:pt>
                <c:pt idx="193">
                  <c:v>5.78</c:v>
                </c:pt>
                <c:pt idx="194">
                  <c:v>5.43</c:v>
                </c:pt>
                <c:pt idx="195">
                  <c:v>5.43</c:v>
                </c:pt>
                <c:pt idx="196">
                  <c:v>4.6900000000000004</c:v>
                </c:pt>
                <c:pt idx="197">
                  <c:v>4.87</c:v>
                </c:pt>
                <c:pt idx="198">
                  <c:v>4.7300000000000004</c:v>
                </c:pt>
                <c:pt idx="199">
                  <c:v>5.2</c:v>
                </c:pt>
                <c:pt idx="200">
                  <c:v>5.1100000000000003</c:v>
                </c:pt>
                <c:pt idx="201">
                  <c:v>5.14</c:v>
                </c:pt>
                <c:pt idx="202">
                  <c:v>5.01</c:v>
                </c:pt>
                <c:pt idx="203">
                  <c:v>4.87</c:v>
                </c:pt>
                <c:pt idx="204">
                  <c:v>4.95</c:v>
                </c:pt>
                <c:pt idx="205">
                  <c:v>4.91</c:v>
                </c:pt>
                <c:pt idx="206">
                  <c:v>5.05</c:v>
                </c:pt>
                <c:pt idx="207">
                  <c:v>5.19</c:v>
                </c:pt>
                <c:pt idx="208">
                  <c:v>5.13</c:v>
                </c:pt>
                <c:pt idx="209">
                  <c:v>5.12</c:v>
                </c:pt>
                <c:pt idx="210">
                  <c:v>5.12</c:v>
                </c:pt>
                <c:pt idx="211">
                  <c:v>5.165</c:v>
                </c:pt>
                <c:pt idx="212">
                  <c:v>5.13</c:v>
                </c:pt>
                <c:pt idx="213">
                  <c:v>5.1449999999999996</c:v>
                </c:pt>
                <c:pt idx="214">
                  <c:v>5.0999999999999996</c:v>
                </c:pt>
                <c:pt idx="215">
                  <c:v>5.1100000000000003</c:v>
                </c:pt>
                <c:pt idx="216">
                  <c:v>5.38</c:v>
                </c:pt>
                <c:pt idx="217">
                  <c:v>5.51</c:v>
                </c:pt>
                <c:pt idx="218">
                  <c:v>5.63</c:v>
                </c:pt>
                <c:pt idx="219">
                  <c:v>5.8650000000000002</c:v>
                </c:pt>
                <c:pt idx="220">
                  <c:v>6.04</c:v>
                </c:pt>
                <c:pt idx="221">
                  <c:v>6.09</c:v>
                </c:pt>
                <c:pt idx="222">
                  <c:v>5.94</c:v>
                </c:pt>
                <c:pt idx="223">
                  <c:v>5.7</c:v>
                </c:pt>
                <c:pt idx="224">
                  <c:v>5.78</c:v>
                </c:pt>
                <c:pt idx="225">
                  <c:v>5.94</c:v>
                </c:pt>
                <c:pt idx="226">
                  <c:v>5.91</c:v>
                </c:pt>
                <c:pt idx="227">
                  <c:v>5.78</c:v>
                </c:pt>
                <c:pt idx="228">
                  <c:v>5.78</c:v>
                </c:pt>
                <c:pt idx="229">
                  <c:v>5.75</c:v>
                </c:pt>
                <c:pt idx="230">
                  <c:v>5.75</c:v>
                </c:pt>
                <c:pt idx="231">
                  <c:v>5.73</c:v>
                </c:pt>
                <c:pt idx="232">
                  <c:v>5.74</c:v>
                </c:pt>
                <c:pt idx="233">
                  <c:v>5.86</c:v>
                </c:pt>
                <c:pt idx="234">
                  <c:v>5.9749999999999996</c:v>
                </c:pt>
                <c:pt idx="235">
                  <c:v>6.09</c:v>
                </c:pt>
                <c:pt idx="236">
                  <c:v>6.04</c:v>
                </c:pt>
                <c:pt idx="237">
                  <c:v>6.03</c:v>
                </c:pt>
                <c:pt idx="238">
                  <c:v>6</c:v>
                </c:pt>
                <c:pt idx="239">
                  <c:v>5.81</c:v>
                </c:pt>
                <c:pt idx="240">
                  <c:v>5.81</c:v>
                </c:pt>
                <c:pt idx="241">
                  <c:v>5.99</c:v>
                </c:pt>
                <c:pt idx="242">
                  <c:v>5.91</c:v>
                </c:pt>
                <c:pt idx="243">
                  <c:v>5.97</c:v>
                </c:pt>
                <c:pt idx="244">
                  <c:v>5.91</c:v>
                </c:pt>
                <c:pt idx="245">
                  <c:v>5.92</c:v>
                </c:pt>
                <c:pt idx="246">
                  <c:v>6</c:v>
                </c:pt>
                <c:pt idx="247">
                  <c:v>5.9</c:v>
                </c:pt>
                <c:pt idx="248">
                  <c:v>5.99</c:v>
                </c:pt>
                <c:pt idx="249">
                  <c:v>6.03</c:v>
                </c:pt>
                <c:pt idx="250">
                  <c:v>6.06</c:v>
                </c:pt>
                <c:pt idx="251">
                  <c:v>6.16</c:v>
                </c:pt>
                <c:pt idx="252">
                  <c:v>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98-5B46-B365-3B71125538C7}"/>
            </c:ext>
          </c:extLst>
        </c:ser>
        <c:ser>
          <c:idx val="3"/>
          <c:order val="3"/>
          <c:tx>
            <c:strRef>
              <c:f>'AEF-keep'!$G$1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'AEF-keep'!$C$2:$C$254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'AEF-keep'!$G$2:$G$254</c:f>
              <c:numCache>
                <c:formatCode>"$"#,##0.00</c:formatCode>
                <c:ptCount val="253"/>
                <c:pt idx="0">
                  <c:v>4.3</c:v>
                </c:pt>
                <c:pt idx="1">
                  <c:v>4.32</c:v>
                </c:pt>
                <c:pt idx="2">
                  <c:v>4.18</c:v>
                </c:pt>
                <c:pt idx="3">
                  <c:v>4.3</c:v>
                </c:pt>
                <c:pt idx="4">
                  <c:v>4.22</c:v>
                </c:pt>
                <c:pt idx="5">
                  <c:v>4.25</c:v>
                </c:pt>
                <c:pt idx="6">
                  <c:v>4</c:v>
                </c:pt>
                <c:pt idx="7">
                  <c:v>4.1399999999999997</c:v>
                </c:pt>
                <c:pt idx="8">
                  <c:v>4.1399999999999997</c:v>
                </c:pt>
                <c:pt idx="9">
                  <c:v>4.1100000000000003</c:v>
                </c:pt>
                <c:pt idx="10">
                  <c:v>4.0599999999999996</c:v>
                </c:pt>
                <c:pt idx="11">
                  <c:v>4.21</c:v>
                </c:pt>
                <c:pt idx="12">
                  <c:v>4.2699999999999996</c:v>
                </c:pt>
                <c:pt idx="13">
                  <c:v>4.22</c:v>
                </c:pt>
                <c:pt idx="14">
                  <c:v>4.1399999999999997</c:v>
                </c:pt>
                <c:pt idx="15">
                  <c:v>4.1100000000000003</c:v>
                </c:pt>
                <c:pt idx="16">
                  <c:v>4.05</c:v>
                </c:pt>
                <c:pt idx="17">
                  <c:v>4.1399999999999997</c:v>
                </c:pt>
                <c:pt idx="18">
                  <c:v>4.0599999999999996</c:v>
                </c:pt>
                <c:pt idx="19">
                  <c:v>4.03</c:v>
                </c:pt>
                <c:pt idx="20">
                  <c:v>3.97</c:v>
                </c:pt>
                <c:pt idx="21">
                  <c:v>3.89</c:v>
                </c:pt>
                <c:pt idx="22">
                  <c:v>3.98</c:v>
                </c:pt>
                <c:pt idx="23">
                  <c:v>4.1100000000000003</c:v>
                </c:pt>
                <c:pt idx="24">
                  <c:v>3.85</c:v>
                </c:pt>
                <c:pt idx="25">
                  <c:v>3.8</c:v>
                </c:pt>
                <c:pt idx="26">
                  <c:v>3.95</c:v>
                </c:pt>
                <c:pt idx="27">
                  <c:v>3.8</c:v>
                </c:pt>
                <c:pt idx="28">
                  <c:v>3.8</c:v>
                </c:pt>
                <c:pt idx="29">
                  <c:v>3.95</c:v>
                </c:pt>
                <c:pt idx="30">
                  <c:v>3.86</c:v>
                </c:pt>
                <c:pt idx="31">
                  <c:v>3.81</c:v>
                </c:pt>
                <c:pt idx="32">
                  <c:v>3.77</c:v>
                </c:pt>
                <c:pt idx="33">
                  <c:v>3.85</c:v>
                </c:pt>
                <c:pt idx="34">
                  <c:v>3.97</c:v>
                </c:pt>
                <c:pt idx="35">
                  <c:v>3.93</c:v>
                </c:pt>
                <c:pt idx="36">
                  <c:v>4.0199999999999996</c:v>
                </c:pt>
                <c:pt idx="37">
                  <c:v>4.0199999999999996</c:v>
                </c:pt>
                <c:pt idx="38">
                  <c:v>4.0999999999999996</c:v>
                </c:pt>
                <c:pt idx="39">
                  <c:v>3.98</c:v>
                </c:pt>
                <c:pt idx="40">
                  <c:v>3.96</c:v>
                </c:pt>
                <c:pt idx="41">
                  <c:v>3.88</c:v>
                </c:pt>
                <c:pt idx="42">
                  <c:v>3.85</c:v>
                </c:pt>
                <c:pt idx="43">
                  <c:v>4.09</c:v>
                </c:pt>
                <c:pt idx="44">
                  <c:v>4.1500000000000004</c:v>
                </c:pt>
                <c:pt idx="45">
                  <c:v>4.0999999999999996</c:v>
                </c:pt>
                <c:pt idx="46">
                  <c:v>4</c:v>
                </c:pt>
                <c:pt idx="47">
                  <c:v>3.88</c:v>
                </c:pt>
                <c:pt idx="48">
                  <c:v>3.96</c:v>
                </c:pt>
                <c:pt idx="49">
                  <c:v>3.86</c:v>
                </c:pt>
                <c:pt idx="50">
                  <c:v>3.97</c:v>
                </c:pt>
                <c:pt idx="51">
                  <c:v>3.96</c:v>
                </c:pt>
                <c:pt idx="52">
                  <c:v>4.16</c:v>
                </c:pt>
                <c:pt idx="53">
                  <c:v>4.1900000000000004</c:v>
                </c:pt>
                <c:pt idx="54">
                  <c:v>4.3899999999999997</c:v>
                </c:pt>
                <c:pt idx="55">
                  <c:v>4.3</c:v>
                </c:pt>
                <c:pt idx="56">
                  <c:v>4.2</c:v>
                </c:pt>
                <c:pt idx="57">
                  <c:v>4.26</c:v>
                </c:pt>
                <c:pt idx="58">
                  <c:v>4.29</c:v>
                </c:pt>
                <c:pt idx="59">
                  <c:v>4.25</c:v>
                </c:pt>
                <c:pt idx="60">
                  <c:v>4.29</c:v>
                </c:pt>
                <c:pt idx="61">
                  <c:v>4.38</c:v>
                </c:pt>
                <c:pt idx="62">
                  <c:v>4.26</c:v>
                </c:pt>
                <c:pt idx="63">
                  <c:v>4.22</c:v>
                </c:pt>
                <c:pt idx="64">
                  <c:v>4.32</c:v>
                </c:pt>
                <c:pt idx="65">
                  <c:v>4.37</c:v>
                </c:pt>
                <c:pt idx="66">
                  <c:v>4.46</c:v>
                </c:pt>
                <c:pt idx="67">
                  <c:v>4.3</c:v>
                </c:pt>
                <c:pt idx="68">
                  <c:v>4.2699999999999996</c:v>
                </c:pt>
                <c:pt idx="69">
                  <c:v>4.32</c:v>
                </c:pt>
                <c:pt idx="70">
                  <c:v>4.4000000000000004</c:v>
                </c:pt>
                <c:pt idx="71">
                  <c:v>4.28</c:v>
                </c:pt>
                <c:pt idx="72">
                  <c:v>4.33</c:v>
                </c:pt>
                <c:pt idx="73">
                  <c:v>4.34</c:v>
                </c:pt>
                <c:pt idx="74">
                  <c:v>4.28</c:v>
                </c:pt>
                <c:pt idx="75">
                  <c:v>4.32</c:v>
                </c:pt>
                <c:pt idx="76">
                  <c:v>4.22</c:v>
                </c:pt>
                <c:pt idx="77">
                  <c:v>4.07</c:v>
                </c:pt>
                <c:pt idx="78">
                  <c:v>4.1500000000000004</c:v>
                </c:pt>
                <c:pt idx="79">
                  <c:v>4.18</c:v>
                </c:pt>
                <c:pt idx="80">
                  <c:v>4.1900000000000004</c:v>
                </c:pt>
                <c:pt idx="81">
                  <c:v>4.13</c:v>
                </c:pt>
                <c:pt idx="82">
                  <c:v>4.09</c:v>
                </c:pt>
                <c:pt idx="83">
                  <c:v>4.04</c:v>
                </c:pt>
                <c:pt idx="84">
                  <c:v>4.04</c:v>
                </c:pt>
                <c:pt idx="85">
                  <c:v>4.1500000000000004</c:v>
                </c:pt>
                <c:pt idx="86">
                  <c:v>4.26</c:v>
                </c:pt>
                <c:pt idx="87">
                  <c:v>4.45</c:v>
                </c:pt>
                <c:pt idx="88">
                  <c:v>4.5</c:v>
                </c:pt>
                <c:pt idx="89">
                  <c:v>4.4000000000000004</c:v>
                </c:pt>
                <c:pt idx="90">
                  <c:v>4.34</c:v>
                </c:pt>
                <c:pt idx="91">
                  <c:v>4.3</c:v>
                </c:pt>
                <c:pt idx="92">
                  <c:v>4.42</c:v>
                </c:pt>
                <c:pt idx="93">
                  <c:v>4.5199999999999996</c:v>
                </c:pt>
                <c:pt idx="94">
                  <c:v>4.5199999999999996</c:v>
                </c:pt>
                <c:pt idx="95">
                  <c:v>4.62</c:v>
                </c:pt>
                <c:pt idx="96">
                  <c:v>4.53</c:v>
                </c:pt>
                <c:pt idx="97">
                  <c:v>4.5199999999999996</c:v>
                </c:pt>
                <c:pt idx="98">
                  <c:v>4.55</c:v>
                </c:pt>
                <c:pt idx="99">
                  <c:v>4.75</c:v>
                </c:pt>
                <c:pt idx="100">
                  <c:v>4.83</c:v>
                </c:pt>
                <c:pt idx="101">
                  <c:v>5.07</c:v>
                </c:pt>
                <c:pt idx="102">
                  <c:v>5.0999999999999996</c:v>
                </c:pt>
                <c:pt idx="103">
                  <c:v>4.92</c:v>
                </c:pt>
                <c:pt idx="104">
                  <c:v>4.8499999999999996</c:v>
                </c:pt>
                <c:pt idx="105">
                  <c:v>4.78</c:v>
                </c:pt>
                <c:pt idx="106">
                  <c:v>4.8</c:v>
                </c:pt>
                <c:pt idx="107">
                  <c:v>4.9800000000000004</c:v>
                </c:pt>
                <c:pt idx="108">
                  <c:v>5.01</c:v>
                </c:pt>
                <c:pt idx="109">
                  <c:v>5.05</c:v>
                </c:pt>
                <c:pt idx="110">
                  <c:v>5</c:v>
                </c:pt>
                <c:pt idx="111">
                  <c:v>5.3</c:v>
                </c:pt>
                <c:pt idx="112">
                  <c:v>5.45</c:v>
                </c:pt>
                <c:pt idx="113">
                  <c:v>5.57</c:v>
                </c:pt>
                <c:pt idx="114">
                  <c:v>5.6</c:v>
                </c:pt>
                <c:pt idx="115">
                  <c:v>5.68</c:v>
                </c:pt>
                <c:pt idx="116">
                  <c:v>5.55</c:v>
                </c:pt>
                <c:pt idx="117">
                  <c:v>5.58</c:v>
                </c:pt>
                <c:pt idx="118">
                  <c:v>5.69</c:v>
                </c:pt>
                <c:pt idx="119">
                  <c:v>5.58</c:v>
                </c:pt>
                <c:pt idx="120">
                  <c:v>5.44</c:v>
                </c:pt>
                <c:pt idx="121">
                  <c:v>5.41</c:v>
                </c:pt>
                <c:pt idx="122">
                  <c:v>5.37</c:v>
                </c:pt>
                <c:pt idx="123">
                  <c:v>5.21</c:v>
                </c:pt>
                <c:pt idx="124">
                  <c:v>5.37</c:v>
                </c:pt>
                <c:pt idx="125">
                  <c:v>5.29</c:v>
                </c:pt>
                <c:pt idx="126">
                  <c:v>5.34</c:v>
                </c:pt>
                <c:pt idx="127">
                  <c:v>5.27</c:v>
                </c:pt>
                <c:pt idx="128">
                  <c:v>5.37</c:v>
                </c:pt>
                <c:pt idx="129">
                  <c:v>5.38</c:v>
                </c:pt>
                <c:pt idx="130">
                  <c:v>5.2</c:v>
                </c:pt>
                <c:pt idx="131">
                  <c:v>5.22</c:v>
                </c:pt>
                <c:pt idx="132">
                  <c:v>5.15</c:v>
                </c:pt>
                <c:pt idx="133">
                  <c:v>5.27</c:v>
                </c:pt>
                <c:pt idx="134">
                  <c:v>5.3</c:v>
                </c:pt>
                <c:pt idx="135">
                  <c:v>5.31</c:v>
                </c:pt>
                <c:pt idx="136">
                  <c:v>5.36</c:v>
                </c:pt>
                <c:pt idx="137">
                  <c:v>5.29</c:v>
                </c:pt>
                <c:pt idx="138">
                  <c:v>5.25</c:v>
                </c:pt>
                <c:pt idx="139">
                  <c:v>5.12</c:v>
                </c:pt>
                <c:pt idx="140">
                  <c:v>5.22</c:v>
                </c:pt>
                <c:pt idx="141">
                  <c:v>5.3</c:v>
                </c:pt>
                <c:pt idx="142">
                  <c:v>5.0999999999999996</c:v>
                </c:pt>
                <c:pt idx="143">
                  <c:v>5.0999999999999996</c:v>
                </c:pt>
                <c:pt idx="144">
                  <c:v>5.09</c:v>
                </c:pt>
                <c:pt idx="145">
                  <c:v>4.95</c:v>
                </c:pt>
                <c:pt idx="146">
                  <c:v>5.05</c:v>
                </c:pt>
                <c:pt idx="147">
                  <c:v>4.96</c:v>
                </c:pt>
                <c:pt idx="148">
                  <c:v>4.92</c:v>
                </c:pt>
                <c:pt idx="149">
                  <c:v>4.9400000000000004</c:v>
                </c:pt>
                <c:pt idx="150">
                  <c:v>4.99</c:v>
                </c:pt>
                <c:pt idx="151">
                  <c:v>4.8499999999999996</c:v>
                </c:pt>
                <c:pt idx="152">
                  <c:v>4.83</c:v>
                </c:pt>
                <c:pt idx="153">
                  <c:v>4.76</c:v>
                </c:pt>
                <c:pt idx="154">
                  <c:v>4.7300000000000004</c:v>
                </c:pt>
                <c:pt idx="155">
                  <c:v>4.97</c:v>
                </c:pt>
                <c:pt idx="156">
                  <c:v>4.9800000000000004</c:v>
                </c:pt>
                <c:pt idx="157">
                  <c:v>4.99</c:v>
                </c:pt>
                <c:pt idx="158">
                  <c:v>4.87</c:v>
                </c:pt>
                <c:pt idx="159">
                  <c:v>4.9000000000000004</c:v>
                </c:pt>
                <c:pt idx="160">
                  <c:v>4.96</c:v>
                </c:pt>
                <c:pt idx="161">
                  <c:v>5.05</c:v>
                </c:pt>
                <c:pt idx="162">
                  <c:v>4.9000000000000004</c:v>
                </c:pt>
                <c:pt idx="163">
                  <c:v>5.08</c:v>
                </c:pt>
                <c:pt idx="164">
                  <c:v>5.29</c:v>
                </c:pt>
                <c:pt idx="165">
                  <c:v>5.29</c:v>
                </c:pt>
                <c:pt idx="166">
                  <c:v>5.21</c:v>
                </c:pt>
                <c:pt idx="167">
                  <c:v>5.15</c:v>
                </c:pt>
                <c:pt idx="168">
                  <c:v>5.07</c:v>
                </c:pt>
                <c:pt idx="169">
                  <c:v>6.2</c:v>
                </c:pt>
                <c:pt idx="170">
                  <c:v>6.23</c:v>
                </c:pt>
                <c:pt idx="171">
                  <c:v>6.46</c:v>
                </c:pt>
                <c:pt idx="172">
                  <c:v>6.43</c:v>
                </c:pt>
                <c:pt idx="173">
                  <c:v>6.02</c:v>
                </c:pt>
                <c:pt idx="174">
                  <c:v>6.02</c:v>
                </c:pt>
                <c:pt idx="175">
                  <c:v>5.69</c:v>
                </c:pt>
                <c:pt idx="176">
                  <c:v>5.64</c:v>
                </c:pt>
                <c:pt idx="177">
                  <c:v>5.27</c:v>
                </c:pt>
                <c:pt idx="178">
                  <c:v>5.43</c:v>
                </c:pt>
                <c:pt idx="179">
                  <c:v>5.6</c:v>
                </c:pt>
                <c:pt idx="180">
                  <c:v>5.61</c:v>
                </c:pt>
                <c:pt idx="181">
                  <c:v>5.65</c:v>
                </c:pt>
                <c:pt idx="182">
                  <c:v>5.55</c:v>
                </c:pt>
                <c:pt idx="183">
                  <c:v>5.68</c:v>
                </c:pt>
                <c:pt idx="184">
                  <c:v>5.9</c:v>
                </c:pt>
                <c:pt idx="185">
                  <c:v>5.81</c:v>
                </c:pt>
                <c:pt idx="186">
                  <c:v>5.77</c:v>
                </c:pt>
                <c:pt idx="187">
                  <c:v>5.89</c:v>
                </c:pt>
                <c:pt idx="188">
                  <c:v>5.89</c:v>
                </c:pt>
                <c:pt idx="189">
                  <c:v>5.83</c:v>
                </c:pt>
                <c:pt idx="190">
                  <c:v>5.95</c:v>
                </c:pt>
                <c:pt idx="191">
                  <c:v>5.9</c:v>
                </c:pt>
                <c:pt idx="192">
                  <c:v>5.92</c:v>
                </c:pt>
                <c:pt idx="193">
                  <c:v>5.84</c:v>
                </c:pt>
                <c:pt idx="194">
                  <c:v>5.62</c:v>
                </c:pt>
                <c:pt idx="195">
                  <c:v>5.59</c:v>
                </c:pt>
                <c:pt idx="196">
                  <c:v>5.15</c:v>
                </c:pt>
                <c:pt idx="197">
                  <c:v>5.1100000000000003</c:v>
                </c:pt>
                <c:pt idx="198">
                  <c:v>4.9800000000000004</c:v>
                </c:pt>
                <c:pt idx="199">
                  <c:v>5.3</c:v>
                </c:pt>
                <c:pt idx="200">
                  <c:v>5.27</c:v>
                </c:pt>
                <c:pt idx="201">
                  <c:v>5.16</c:v>
                </c:pt>
                <c:pt idx="202">
                  <c:v>5.0599999999999996</c:v>
                </c:pt>
                <c:pt idx="203">
                  <c:v>4.97</c:v>
                </c:pt>
                <c:pt idx="204">
                  <c:v>5.01</c:v>
                </c:pt>
                <c:pt idx="205">
                  <c:v>5</c:v>
                </c:pt>
                <c:pt idx="206">
                  <c:v>5.25</c:v>
                </c:pt>
                <c:pt idx="207">
                  <c:v>5.25</c:v>
                </c:pt>
                <c:pt idx="208">
                  <c:v>5.13</c:v>
                </c:pt>
                <c:pt idx="209">
                  <c:v>5.28</c:v>
                </c:pt>
                <c:pt idx="210">
                  <c:v>5.2</c:v>
                </c:pt>
                <c:pt idx="211">
                  <c:v>5.26</c:v>
                </c:pt>
                <c:pt idx="212">
                  <c:v>5.3</c:v>
                </c:pt>
                <c:pt idx="213">
                  <c:v>5.16</c:v>
                </c:pt>
                <c:pt idx="214">
                  <c:v>5.23</c:v>
                </c:pt>
                <c:pt idx="215">
                  <c:v>5.51</c:v>
                </c:pt>
                <c:pt idx="216">
                  <c:v>5.52</c:v>
                </c:pt>
                <c:pt idx="217">
                  <c:v>5.68</c:v>
                </c:pt>
                <c:pt idx="218">
                  <c:v>5.87</c:v>
                </c:pt>
                <c:pt idx="219">
                  <c:v>6.04</c:v>
                </c:pt>
                <c:pt idx="220">
                  <c:v>6.15</c:v>
                </c:pt>
                <c:pt idx="221">
                  <c:v>6.21</c:v>
                </c:pt>
                <c:pt idx="222">
                  <c:v>6.05</c:v>
                </c:pt>
                <c:pt idx="223">
                  <c:v>5.9</c:v>
                </c:pt>
                <c:pt idx="224">
                  <c:v>6</c:v>
                </c:pt>
                <c:pt idx="225">
                  <c:v>6.04</c:v>
                </c:pt>
                <c:pt idx="226">
                  <c:v>6.03</c:v>
                </c:pt>
                <c:pt idx="227">
                  <c:v>5.85</c:v>
                </c:pt>
                <c:pt idx="228">
                  <c:v>5.88</c:v>
                </c:pt>
                <c:pt idx="229">
                  <c:v>5.86</c:v>
                </c:pt>
                <c:pt idx="230">
                  <c:v>5.82</c:v>
                </c:pt>
                <c:pt idx="231">
                  <c:v>5.8</c:v>
                </c:pt>
                <c:pt idx="232">
                  <c:v>5.9</c:v>
                </c:pt>
                <c:pt idx="233">
                  <c:v>6</c:v>
                </c:pt>
                <c:pt idx="234">
                  <c:v>6.1</c:v>
                </c:pt>
                <c:pt idx="235">
                  <c:v>6.22</c:v>
                </c:pt>
                <c:pt idx="236">
                  <c:v>6.14</c:v>
                </c:pt>
                <c:pt idx="237">
                  <c:v>6.03</c:v>
                </c:pt>
                <c:pt idx="238">
                  <c:v>6.07</c:v>
                </c:pt>
                <c:pt idx="239">
                  <c:v>5.86</c:v>
                </c:pt>
                <c:pt idx="240">
                  <c:v>6.06</c:v>
                </c:pt>
                <c:pt idx="241">
                  <c:v>6.13</c:v>
                </c:pt>
                <c:pt idx="242">
                  <c:v>6.06</c:v>
                </c:pt>
                <c:pt idx="243">
                  <c:v>6.01</c:v>
                </c:pt>
                <c:pt idx="244">
                  <c:v>5.99</c:v>
                </c:pt>
                <c:pt idx="245">
                  <c:v>6.1</c:v>
                </c:pt>
                <c:pt idx="246">
                  <c:v>6.06</c:v>
                </c:pt>
                <c:pt idx="247">
                  <c:v>6.16</c:v>
                </c:pt>
                <c:pt idx="248">
                  <c:v>6.01</c:v>
                </c:pt>
                <c:pt idx="249">
                  <c:v>6.16</c:v>
                </c:pt>
                <c:pt idx="250">
                  <c:v>6.28</c:v>
                </c:pt>
                <c:pt idx="251">
                  <c:v>6.19</c:v>
                </c:pt>
                <c:pt idx="252">
                  <c:v>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98-5B46-B365-3B7112553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B050"/>
              </a:solidFill>
              <a:ln w="9525" cap="flat" cmpd="sng" algn="ctr">
                <a:solidFill>
                  <a:srgbClr val="00B050"/>
                </a:solidFill>
                <a:round/>
              </a:ln>
              <a:effectLst/>
            </c:spPr>
          </c:upBars>
          <c:downBars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round/>
              </a:ln>
              <a:effectLst/>
            </c:spPr>
          </c:downBars>
        </c:upDownBars>
        <c:axId val="1028118544"/>
        <c:axId val="994120864"/>
      </c:stockChart>
      <c:catAx>
        <c:axId val="102811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 sz="1200" b="1"/>
              </a:p>
              <a:p>
                <a:pPr>
                  <a:defRPr sz="1200" b="1"/>
                </a:pPr>
                <a:r>
                  <a:rPr lang="en-GB" sz="1200" b="1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120864"/>
        <c:crosses val="autoZero"/>
        <c:auto val="1"/>
        <c:lblAlgn val="ctr"/>
        <c:lblOffset val="100"/>
        <c:noMultiLvlLbl val="0"/>
      </c:catAx>
      <c:valAx>
        <c:axId val="994120864"/>
        <c:scaling>
          <c:orientation val="minMax"/>
          <c:max val="6.75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/>
                  <a:t>Price</a:t>
                </a:r>
              </a:p>
              <a:p>
                <a:pPr>
                  <a:defRPr sz="1200"/>
                </a:pPr>
                <a:endParaRPr lang="en-GB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11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800" b="1">
                <a:effectLst/>
              </a:rPr>
              <a:t>Capital vs issued shares analysis</a:t>
            </a:r>
            <a:endParaRPr lang="en-AU" sz="1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'AEF-keep'!$G$1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'AEF-keep'!$C$2:$C$254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'AEF-keep'!$G$2:$G$254</c:f>
              <c:numCache>
                <c:formatCode>"$"#,##0.00</c:formatCode>
                <c:ptCount val="253"/>
                <c:pt idx="0">
                  <c:v>4.3</c:v>
                </c:pt>
                <c:pt idx="1">
                  <c:v>4.32</c:v>
                </c:pt>
                <c:pt idx="2">
                  <c:v>4.18</c:v>
                </c:pt>
                <c:pt idx="3">
                  <c:v>4.3</c:v>
                </c:pt>
                <c:pt idx="4">
                  <c:v>4.22</c:v>
                </c:pt>
                <c:pt idx="5">
                  <c:v>4.25</c:v>
                </c:pt>
                <c:pt idx="6">
                  <c:v>4</c:v>
                </c:pt>
                <c:pt idx="7">
                  <c:v>4.1399999999999997</c:v>
                </c:pt>
                <c:pt idx="8">
                  <c:v>4.1399999999999997</c:v>
                </c:pt>
                <c:pt idx="9">
                  <c:v>4.1100000000000003</c:v>
                </c:pt>
                <c:pt idx="10">
                  <c:v>4.0599999999999996</c:v>
                </c:pt>
                <c:pt idx="11">
                  <c:v>4.21</c:v>
                </c:pt>
                <c:pt idx="12">
                  <c:v>4.2699999999999996</c:v>
                </c:pt>
                <c:pt idx="13">
                  <c:v>4.22</c:v>
                </c:pt>
                <c:pt idx="14">
                  <c:v>4.1399999999999997</c:v>
                </c:pt>
                <c:pt idx="15">
                  <c:v>4.1100000000000003</c:v>
                </c:pt>
                <c:pt idx="16">
                  <c:v>4.05</c:v>
                </c:pt>
                <c:pt idx="17">
                  <c:v>4.1399999999999997</c:v>
                </c:pt>
                <c:pt idx="18">
                  <c:v>4.0599999999999996</c:v>
                </c:pt>
                <c:pt idx="19">
                  <c:v>4.03</c:v>
                </c:pt>
                <c:pt idx="20">
                  <c:v>3.97</c:v>
                </c:pt>
                <c:pt idx="21">
                  <c:v>3.89</c:v>
                </c:pt>
                <c:pt idx="22">
                  <c:v>3.98</c:v>
                </c:pt>
                <c:pt idx="23">
                  <c:v>4.1100000000000003</c:v>
                </c:pt>
                <c:pt idx="24">
                  <c:v>3.85</c:v>
                </c:pt>
                <c:pt idx="25">
                  <c:v>3.8</c:v>
                </c:pt>
                <c:pt idx="26">
                  <c:v>3.95</c:v>
                </c:pt>
                <c:pt idx="27">
                  <c:v>3.8</c:v>
                </c:pt>
                <c:pt idx="28">
                  <c:v>3.8</c:v>
                </c:pt>
                <c:pt idx="29">
                  <c:v>3.95</c:v>
                </c:pt>
                <c:pt idx="30">
                  <c:v>3.86</c:v>
                </c:pt>
                <c:pt idx="31">
                  <c:v>3.81</c:v>
                </c:pt>
                <c:pt idx="32">
                  <c:v>3.77</c:v>
                </c:pt>
                <c:pt idx="33">
                  <c:v>3.85</c:v>
                </c:pt>
                <c:pt idx="34">
                  <c:v>3.97</c:v>
                </c:pt>
                <c:pt idx="35">
                  <c:v>3.93</c:v>
                </c:pt>
                <c:pt idx="36">
                  <c:v>4.0199999999999996</c:v>
                </c:pt>
                <c:pt idx="37">
                  <c:v>4.0199999999999996</c:v>
                </c:pt>
                <c:pt idx="38">
                  <c:v>4.0999999999999996</c:v>
                </c:pt>
                <c:pt idx="39">
                  <c:v>3.98</c:v>
                </c:pt>
                <c:pt idx="40">
                  <c:v>3.96</c:v>
                </c:pt>
                <c:pt idx="41">
                  <c:v>3.88</c:v>
                </c:pt>
                <c:pt idx="42">
                  <c:v>3.85</c:v>
                </c:pt>
                <c:pt idx="43">
                  <c:v>4.09</c:v>
                </c:pt>
                <c:pt idx="44">
                  <c:v>4.1500000000000004</c:v>
                </c:pt>
                <c:pt idx="45">
                  <c:v>4.0999999999999996</c:v>
                </c:pt>
                <c:pt idx="46">
                  <c:v>4</c:v>
                </c:pt>
                <c:pt idx="47">
                  <c:v>3.88</c:v>
                </c:pt>
                <c:pt idx="48">
                  <c:v>3.96</c:v>
                </c:pt>
                <c:pt idx="49">
                  <c:v>3.86</c:v>
                </c:pt>
                <c:pt idx="50">
                  <c:v>3.97</c:v>
                </c:pt>
                <c:pt idx="51">
                  <c:v>3.96</c:v>
                </c:pt>
                <c:pt idx="52">
                  <c:v>4.16</c:v>
                </c:pt>
                <c:pt idx="53">
                  <c:v>4.1900000000000004</c:v>
                </c:pt>
                <c:pt idx="54">
                  <c:v>4.3899999999999997</c:v>
                </c:pt>
                <c:pt idx="55">
                  <c:v>4.3</c:v>
                </c:pt>
                <c:pt idx="56">
                  <c:v>4.2</c:v>
                </c:pt>
                <c:pt idx="57">
                  <c:v>4.26</c:v>
                </c:pt>
                <c:pt idx="58">
                  <c:v>4.29</c:v>
                </c:pt>
                <c:pt idx="59">
                  <c:v>4.25</c:v>
                </c:pt>
                <c:pt idx="60">
                  <c:v>4.29</c:v>
                </c:pt>
                <c:pt idx="61">
                  <c:v>4.38</c:v>
                </c:pt>
                <c:pt idx="62">
                  <c:v>4.26</c:v>
                </c:pt>
                <c:pt idx="63">
                  <c:v>4.22</c:v>
                </c:pt>
                <c:pt idx="64">
                  <c:v>4.32</c:v>
                </c:pt>
                <c:pt idx="65">
                  <c:v>4.37</c:v>
                </c:pt>
                <c:pt idx="66">
                  <c:v>4.46</c:v>
                </c:pt>
                <c:pt idx="67">
                  <c:v>4.3</c:v>
                </c:pt>
                <c:pt idx="68">
                  <c:v>4.2699999999999996</c:v>
                </c:pt>
                <c:pt idx="69">
                  <c:v>4.32</c:v>
                </c:pt>
                <c:pt idx="70">
                  <c:v>4.4000000000000004</c:v>
                </c:pt>
                <c:pt idx="71">
                  <c:v>4.28</c:v>
                </c:pt>
                <c:pt idx="72">
                  <c:v>4.33</c:v>
                </c:pt>
                <c:pt idx="73">
                  <c:v>4.34</c:v>
                </c:pt>
                <c:pt idx="74">
                  <c:v>4.28</c:v>
                </c:pt>
                <c:pt idx="75">
                  <c:v>4.32</c:v>
                </c:pt>
                <c:pt idx="76">
                  <c:v>4.22</c:v>
                </c:pt>
                <c:pt idx="77">
                  <c:v>4.07</c:v>
                </c:pt>
                <c:pt idx="78">
                  <c:v>4.1500000000000004</c:v>
                </c:pt>
                <c:pt idx="79">
                  <c:v>4.18</c:v>
                </c:pt>
                <c:pt idx="80">
                  <c:v>4.1900000000000004</c:v>
                </c:pt>
                <c:pt idx="81">
                  <c:v>4.13</c:v>
                </c:pt>
                <c:pt idx="82">
                  <c:v>4.09</c:v>
                </c:pt>
                <c:pt idx="83">
                  <c:v>4.04</c:v>
                </c:pt>
                <c:pt idx="84">
                  <c:v>4.04</c:v>
                </c:pt>
                <c:pt idx="85">
                  <c:v>4.1500000000000004</c:v>
                </c:pt>
                <c:pt idx="86">
                  <c:v>4.26</c:v>
                </c:pt>
                <c:pt idx="87">
                  <c:v>4.45</c:v>
                </c:pt>
                <c:pt idx="88">
                  <c:v>4.5</c:v>
                </c:pt>
                <c:pt idx="89">
                  <c:v>4.4000000000000004</c:v>
                </c:pt>
                <c:pt idx="90">
                  <c:v>4.34</c:v>
                </c:pt>
                <c:pt idx="91">
                  <c:v>4.3</c:v>
                </c:pt>
                <c:pt idx="92">
                  <c:v>4.42</c:v>
                </c:pt>
                <c:pt idx="93">
                  <c:v>4.5199999999999996</c:v>
                </c:pt>
                <c:pt idx="94">
                  <c:v>4.5199999999999996</c:v>
                </c:pt>
                <c:pt idx="95">
                  <c:v>4.62</c:v>
                </c:pt>
                <c:pt idx="96">
                  <c:v>4.53</c:v>
                </c:pt>
                <c:pt idx="97">
                  <c:v>4.5199999999999996</c:v>
                </c:pt>
                <c:pt idx="98">
                  <c:v>4.55</c:v>
                </c:pt>
                <c:pt idx="99">
                  <c:v>4.75</c:v>
                </c:pt>
                <c:pt idx="100">
                  <c:v>4.83</c:v>
                </c:pt>
                <c:pt idx="101">
                  <c:v>5.07</c:v>
                </c:pt>
                <c:pt idx="102">
                  <c:v>5.0999999999999996</c:v>
                </c:pt>
                <c:pt idx="103">
                  <c:v>4.92</c:v>
                </c:pt>
                <c:pt idx="104">
                  <c:v>4.8499999999999996</c:v>
                </c:pt>
                <c:pt idx="105">
                  <c:v>4.78</c:v>
                </c:pt>
                <c:pt idx="106">
                  <c:v>4.8</c:v>
                </c:pt>
                <c:pt idx="107">
                  <c:v>4.9800000000000004</c:v>
                </c:pt>
                <c:pt idx="108">
                  <c:v>5.01</c:v>
                </c:pt>
                <c:pt idx="109">
                  <c:v>5.05</c:v>
                </c:pt>
                <c:pt idx="110">
                  <c:v>5</c:v>
                </c:pt>
                <c:pt idx="111">
                  <c:v>5.3</c:v>
                </c:pt>
                <c:pt idx="112">
                  <c:v>5.45</c:v>
                </c:pt>
                <c:pt idx="113">
                  <c:v>5.57</c:v>
                </c:pt>
                <c:pt idx="114">
                  <c:v>5.6</c:v>
                </c:pt>
                <c:pt idx="115">
                  <c:v>5.68</c:v>
                </c:pt>
                <c:pt idx="116">
                  <c:v>5.55</c:v>
                </c:pt>
                <c:pt idx="117">
                  <c:v>5.58</c:v>
                </c:pt>
                <c:pt idx="118">
                  <c:v>5.69</c:v>
                </c:pt>
                <c:pt idx="119">
                  <c:v>5.58</c:v>
                </c:pt>
                <c:pt idx="120">
                  <c:v>5.44</c:v>
                </c:pt>
                <c:pt idx="121">
                  <c:v>5.41</c:v>
                </c:pt>
                <c:pt idx="122">
                  <c:v>5.37</c:v>
                </c:pt>
                <c:pt idx="123">
                  <c:v>5.21</c:v>
                </c:pt>
                <c:pt idx="124">
                  <c:v>5.37</c:v>
                </c:pt>
                <c:pt idx="125">
                  <c:v>5.29</c:v>
                </c:pt>
                <c:pt idx="126">
                  <c:v>5.34</c:v>
                </c:pt>
                <c:pt idx="127">
                  <c:v>5.27</c:v>
                </c:pt>
                <c:pt idx="128">
                  <c:v>5.37</c:v>
                </c:pt>
                <c:pt idx="129">
                  <c:v>5.38</c:v>
                </c:pt>
                <c:pt idx="130">
                  <c:v>5.2</c:v>
                </c:pt>
                <c:pt idx="131">
                  <c:v>5.22</c:v>
                </c:pt>
                <c:pt idx="132">
                  <c:v>5.15</c:v>
                </c:pt>
                <c:pt idx="133">
                  <c:v>5.27</c:v>
                </c:pt>
                <c:pt idx="134">
                  <c:v>5.3</c:v>
                </c:pt>
                <c:pt idx="135">
                  <c:v>5.31</c:v>
                </c:pt>
                <c:pt idx="136">
                  <c:v>5.36</c:v>
                </c:pt>
                <c:pt idx="137">
                  <c:v>5.29</c:v>
                </c:pt>
                <c:pt idx="138">
                  <c:v>5.25</c:v>
                </c:pt>
                <c:pt idx="139">
                  <c:v>5.12</c:v>
                </c:pt>
                <c:pt idx="140">
                  <c:v>5.22</c:v>
                </c:pt>
                <c:pt idx="141">
                  <c:v>5.3</c:v>
                </c:pt>
                <c:pt idx="142">
                  <c:v>5.0999999999999996</c:v>
                </c:pt>
                <c:pt idx="143">
                  <c:v>5.0999999999999996</c:v>
                </c:pt>
                <c:pt idx="144">
                  <c:v>5.09</c:v>
                </c:pt>
                <c:pt idx="145">
                  <c:v>4.95</c:v>
                </c:pt>
                <c:pt idx="146">
                  <c:v>5.05</c:v>
                </c:pt>
                <c:pt idx="147">
                  <c:v>4.96</c:v>
                </c:pt>
                <c:pt idx="148">
                  <c:v>4.92</c:v>
                </c:pt>
                <c:pt idx="149">
                  <c:v>4.9400000000000004</c:v>
                </c:pt>
                <c:pt idx="150">
                  <c:v>4.99</c:v>
                </c:pt>
                <c:pt idx="151">
                  <c:v>4.8499999999999996</c:v>
                </c:pt>
                <c:pt idx="152">
                  <c:v>4.83</c:v>
                </c:pt>
                <c:pt idx="153">
                  <c:v>4.76</c:v>
                </c:pt>
                <c:pt idx="154">
                  <c:v>4.7300000000000004</c:v>
                </c:pt>
                <c:pt idx="155">
                  <c:v>4.97</c:v>
                </c:pt>
                <c:pt idx="156">
                  <c:v>4.9800000000000004</c:v>
                </c:pt>
                <c:pt idx="157">
                  <c:v>4.99</c:v>
                </c:pt>
                <c:pt idx="158">
                  <c:v>4.87</c:v>
                </c:pt>
                <c:pt idx="159">
                  <c:v>4.9000000000000004</c:v>
                </c:pt>
                <c:pt idx="160">
                  <c:v>4.96</c:v>
                </c:pt>
                <c:pt idx="161">
                  <c:v>5.05</c:v>
                </c:pt>
                <c:pt idx="162">
                  <c:v>4.9000000000000004</c:v>
                </c:pt>
                <c:pt idx="163">
                  <c:v>5.08</c:v>
                </c:pt>
                <c:pt idx="164">
                  <c:v>5.29</c:v>
                </c:pt>
                <c:pt idx="165">
                  <c:v>5.29</c:v>
                </c:pt>
                <c:pt idx="166">
                  <c:v>5.21</c:v>
                </c:pt>
                <c:pt idx="167">
                  <c:v>5.15</c:v>
                </c:pt>
                <c:pt idx="168">
                  <c:v>5.07</c:v>
                </c:pt>
                <c:pt idx="169">
                  <c:v>6.2</c:v>
                </c:pt>
                <c:pt idx="170">
                  <c:v>6.23</c:v>
                </c:pt>
                <c:pt idx="171">
                  <c:v>6.46</c:v>
                </c:pt>
                <c:pt idx="172">
                  <c:v>6.43</c:v>
                </c:pt>
                <c:pt idx="173">
                  <c:v>6.02</c:v>
                </c:pt>
                <c:pt idx="174">
                  <c:v>6.02</c:v>
                </c:pt>
                <c:pt idx="175">
                  <c:v>5.69</c:v>
                </c:pt>
                <c:pt idx="176">
                  <c:v>5.64</c:v>
                </c:pt>
                <c:pt idx="177">
                  <c:v>5.27</c:v>
                </c:pt>
                <c:pt idx="178">
                  <c:v>5.43</c:v>
                </c:pt>
                <c:pt idx="179">
                  <c:v>5.6</c:v>
                </c:pt>
                <c:pt idx="180">
                  <c:v>5.61</c:v>
                </c:pt>
                <c:pt idx="181">
                  <c:v>5.65</c:v>
                </c:pt>
                <c:pt idx="182">
                  <c:v>5.55</c:v>
                </c:pt>
                <c:pt idx="183">
                  <c:v>5.68</c:v>
                </c:pt>
                <c:pt idx="184">
                  <c:v>5.9</c:v>
                </c:pt>
                <c:pt idx="185">
                  <c:v>5.81</c:v>
                </c:pt>
                <c:pt idx="186">
                  <c:v>5.77</c:v>
                </c:pt>
                <c:pt idx="187">
                  <c:v>5.89</c:v>
                </c:pt>
                <c:pt idx="188">
                  <c:v>5.89</c:v>
                </c:pt>
                <c:pt idx="189">
                  <c:v>5.83</c:v>
                </c:pt>
                <c:pt idx="190">
                  <c:v>5.95</c:v>
                </c:pt>
                <c:pt idx="191">
                  <c:v>5.9</c:v>
                </c:pt>
                <c:pt idx="192">
                  <c:v>5.92</c:v>
                </c:pt>
                <c:pt idx="193">
                  <c:v>5.84</c:v>
                </c:pt>
                <c:pt idx="194">
                  <c:v>5.62</c:v>
                </c:pt>
                <c:pt idx="195">
                  <c:v>5.59</c:v>
                </c:pt>
                <c:pt idx="196">
                  <c:v>5.15</c:v>
                </c:pt>
                <c:pt idx="197">
                  <c:v>5.1100000000000003</c:v>
                </c:pt>
                <c:pt idx="198">
                  <c:v>4.9800000000000004</c:v>
                </c:pt>
                <c:pt idx="199">
                  <c:v>5.3</c:v>
                </c:pt>
                <c:pt idx="200">
                  <c:v>5.27</c:v>
                </c:pt>
                <c:pt idx="201">
                  <c:v>5.16</c:v>
                </c:pt>
                <c:pt idx="202">
                  <c:v>5.0599999999999996</c:v>
                </c:pt>
                <c:pt idx="203">
                  <c:v>4.97</c:v>
                </c:pt>
                <c:pt idx="204">
                  <c:v>5.01</c:v>
                </c:pt>
                <c:pt idx="205">
                  <c:v>5</c:v>
                </c:pt>
                <c:pt idx="206">
                  <c:v>5.25</c:v>
                </c:pt>
                <c:pt idx="207">
                  <c:v>5.25</c:v>
                </c:pt>
                <c:pt idx="208">
                  <c:v>5.13</c:v>
                </c:pt>
                <c:pt idx="209">
                  <c:v>5.28</c:v>
                </c:pt>
                <c:pt idx="210">
                  <c:v>5.2</c:v>
                </c:pt>
                <c:pt idx="211">
                  <c:v>5.26</c:v>
                </c:pt>
                <c:pt idx="212">
                  <c:v>5.3</c:v>
                </c:pt>
                <c:pt idx="213">
                  <c:v>5.16</c:v>
                </c:pt>
                <c:pt idx="214">
                  <c:v>5.23</c:v>
                </c:pt>
                <c:pt idx="215">
                  <c:v>5.51</c:v>
                </c:pt>
                <c:pt idx="216">
                  <c:v>5.52</c:v>
                </c:pt>
                <c:pt idx="217">
                  <c:v>5.68</c:v>
                </c:pt>
                <c:pt idx="218">
                  <c:v>5.87</c:v>
                </c:pt>
                <c:pt idx="219">
                  <c:v>6.04</c:v>
                </c:pt>
                <c:pt idx="220">
                  <c:v>6.15</c:v>
                </c:pt>
                <c:pt idx="221">
                  <c:v>6.21</c:v>
                </c:pt>
                <c:pt idx="222">
                  <c:v>6.05</c:v>
                </c:pt>
                <c:pt idx="223">
                  <c:v>5.9</c:v>
                </c:pt>
                <c:pt idx="224">
                  <c:v>6</c:v>
                </c:pt>
                <c:pt idx="225">
                  <c:v>6.04</c:v>
                </c:pt>
                <c:pt idx="226">
                  <c:v>6.03</c:v>
                </c:pt>
                <c:pt idx="227">
                  <c:v>5.85</c:v>
                </c:pt>
                <c:pt idx="228">
                  <c:v>5.88</c:v>
                </c:pt>
                <c:pt idx="229">
                  <c:v>5.86</c:v>
                </c:pt>
                <c:pt idx="230">
                  <c:v>5.82</c:v>
                </c:pt>
                <c:pt idx="231">
                  <c:v>5.8</c:v>
                </c:pt>
                <c:pt idx="232">
                  <c:v>5.9</c:v>
                </c:pt>
                <c:pt idx="233">
                  <c:v>6</c:v>
                </c:pt>
                <c:pt idx="234">
                  <c:v>6.1</c:v>
                </c:pt>
                <c:pt idx="235">
                  <c:v>6.22</c:v>
                </c:pt>
                <c:pt idx="236">
                  <c:v>6.14</c:v>
                </c:pt>
                <c:pt idx="237">
                  <c:v>6.03</c:v>
                </c:pt>
                <c:pt idx="238">
                  <c:v>6.07</c:v>
                </c:pt>
                <c:pt idx="239">
                  <c:v>5.86</c:v>
                </c:pt>
                <c:pt idx="240">
                  <c:v>6.06</c:v>
                </c:pt>
                <c:pt idx="241">
                  <c:v>6.13</c:v>
                </c:pt>
                <c:pt idx="242">
                  <c:v>6.06</c:v>
                </c:pt>
                <c:pt idx="243">
                  <c:v>6.01</c:v>
                </c:pt>
                <c:pt idx="244">
                  <c:v>5.99</c:v>
                </c:pt>
                <c:pt idx="245">
                  <c:v>6.1</c:v>
                </c:pt>
                <c:pt idx="246">
                  <c:v>6.06</c:v>
                </c:pt>
                <c:pt idx="247">
                  <c:v>6.16</c:v>
                </c:pt>
                <c:pt idx="248">
                  <c:v>6.01</c:v>
                </c:pt>
                <c:pt idx="249">
                  <c:v>6.16</c:v>
                </c:pt>
                <c:pt idx="250">
                  <c:v>6.28</c:v>
                </c:pt>
                <c:pt idx="251">
                  <c:v>6.19</c:v>
                </c:pt>
                <c:pt idx="252">
                  <c:v>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0-DA46-B802-801F6FD56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929024"/>
        <c:axId val="1031047904"/>
      </c:lineChart>
      <c:lineChart>
        <c:grouping val="standard"/>
        <c:varyColors val="0"/>
        <c:ser>
          <c:idx val="1"/>
          <c:order val="1"/>
          <c:tx>
            <c:strRef>
              <c:f>'AEF-keep'!$J$1</c:f>
              <c:strCache>
                <c:ptCount val="1"/>
                <c:pt idx="0">
                  <c:v>Shares on Issue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'AEF-keep'!$C$2:$C$254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'AEF-keep'!$J$2:$J$254</c:f>
              <c:numCache>
                <c:formatCode>#,##0</c:formatCode>
                <c:ptCount val="253"/>
                <c:pt idx="0">
                  <c:v>112782052</c:v>
                </c:pt>
                <c:pt idx="1">
                  <c:v>112782052</c:v>
                </c:pt>
                <c:pt idx="2">
                  <c:v>112782052</c:v>
                </c:pt>
                <c:pt idx="3">
                  <c:v>112782052</c:v>
                </c:pt>
                <c:pt idx="4">
                  <c:v>112782052</c:v>
                </c:pt>
                <c:pt idx="5">
                  <c:v>112782052</c:v>
                </c:pt>
                <c:pt idx="6">
                  <c:v>112782052</c:v>
                </c:pt>
                <c:pt idx="7">
                  <c:v>112782052</c:v>
                </c:pt>
                <c:pt idx="8">
                  <c:v>112782052</c:v>
                </c:pt>
                <c:pt idx="9">
                  <c:v>112782052</c:v>
                </c:pt>
                <c:pt idx="10">
                  <c:v>112782052</c:v>
                </c:pt>
                <c:pt idx="11">
                  <c:v>112782052</c:v>
                </c:pt>
                <c:pt idx="12">
                  <c:v>112782052</c:v>
                </c:pt>
                <c:pt idx="13">
                  <c:v>112782052</c:v>
                </c:pt>
                <c:pt idx="14">
                  <c:v>112782052</c:v>
                </c:pt>
                <c:pt idx="15">
                  <c:v>112782052</c:v>
                </c:pt>
                <c:pt idx="16">
                  <c:v>112782052</c:v>
                </c:pt>
                <c:pt idx="17">
                  <c:v>112782052</c:v>
                </c:pt>
                <c:pt idx="18">
                  <c:v>112782052</c:v>
                </c:pt>
                <c:pt idx="19">
                  <c:v>112782052</c:v>
                </c:pt>
                <c:pt idx="20">
                  <c:v>112782052</c:v>
                </c:pt>
                <c:pt idx="21">
                  <c:v>112782052</c:v>
                </c:pt>
                <c:pt idx="22">
                  <c:v>112782052</c:v>
                </c:pt>
                <c:pt idx="23">
                  <c:v>112782052</c:v>
                </c:pt>
                <c:pt idx="24">
                  <c:v>112782052</c:v>
                </c:pt>
                <c:pt idx="25">
                  <c:v>112782052</c:v>
                </c:pt>
                <c:pt idx="26">
                  <c:v>112782052</c:v>
                </c:pt>
                <c:pt idx="27">
                  <c:v>112782052</c:v>
                </c:pt>
                <c:pt idx="28">
                  <c:v>112782052</c:v>
                </c:pt>
                <c:pt idx="29">
                  <c:v>112782052</c:v>
                </c:pt>
                <c:pt idx="30">
                  <c:v>112782052</c:v>
                </c:pt>
                <c:pt idx="31">
                  <c:v>112782052</c:v>
                </c:pt>
                <c:pt idx="32">
                  <c:v>112782052</c:v>
                </c:pt>
                <c:pt idx="33">
                  <c:v>112782052</c:v>
                </c:pt>
                <c:pt idx="34">
                  <c:v>112782052</c:v>
                </c:pt>
                <c:pt idx="35">
                  <c:v>112782052</c:v>
                </c:pt>
                <c:pt idx="36">
                  <c:v>112782052</c:v>
                </c:pt>
                <c:pt idx="37">
                  <c:v>112782052</c:v>
                </c:pt>
                <c:pt idx="38">
                  <c:v>112782052</c:v>
                </c:pt>
                <c:pt idx="39">
                  <c:v>112782052</c:v>
                </c:pt>
                <c:pt idx="40">
                  <c:v>112782052</c:v>
                </c:pt>
                <c:pt idx="41">
                  <c:v>112782052</c:v>
                </c:pt>
                <c:pt idx="42">
                  <c:v>112782052</c:v>
                </c:pt>
                <c:pt idx="43">
                  <c:v>112782052</c:v>
                </c:pt>
                <c:pt idx="44">
                  <c:v>112782052</c:v>
                </c:pt>
                <c:pt idx="45">
                  <c:v>112782052</c:v>
                </c:pt>
                <c:pt idx="46">
                  <c:v>112782052</c:v>
                </c:pt>
                <c:pt idx="47">
                  <c:v>112782052</c:v>
                </c:pt>
                <c:pt idx="48">
                  <c:v>112782052</c:v>
                </c:pt>
                <c:pt idx="49">
                  <c:v>112782052</c:v>
                </c:pt>
                <c:pt idx="50">
                  <c:v>112782052</c:v>
                </c:pt>
                <c:pt idx="51">
                  <c:v>112782052</c:v>
                </c:pt>
                <c:pt idx="52">
                  <c:v>112782052</c:v>
                </c:pt>
                <c:pt idx="53">
                  <c:v>112782052</c:v>
                </c:pt>
                <c:pt idx="54">
                  <c:v>112782052</c:v>
                </c:pt>
                <c:pt idx="55">
                  <c:v>112782052</c:v>
                </c:pt>
                <c:pt idx="56">
                  <c:v>112782052</c:v>
                </c:pt>
                <c:pt idx="57">
                  <c:v>112782052</c:v>
                </c:pt>
                <c:pt idx="58">
                  <c:v>112782052</c:v>
                </c:pt>
                <c:pt idx="59">
                  <c:v>112782052</c:v>
                </c:pt>
                <c:pt idx="60">
                  <c:v>112782052</c:v>
                </c:pt>
                <c:pt idx="61">
                  <c:v>112782052</c:v>
                </c:pt>
                <c:pt idx="62">
                  <c:v>112782052</c:v>
                </c:pt>
                <c:pt idx="63">
                  <c:v>112782052</c:v>
                </c:pt>
                <c:pt idx="64">
                  <c:v>112782052</c:v>
                </c:pt>
                <c:pt idx="65">
                  <c:v>112782052</c:v>
                </c:pt>
                <c:pt idx="66">
                  <c:v>112782052</c:v>
                </c:pt>
                <c:pt idx="67">
                  <c:v>112782052</c:v>
                </c:pt>
                <c:pt idx="68">
                  <c:v>112782052</c:v>
                </c:pt>
                <c:pt idx="69">
                  <c:v>112782052</c:v>
                </c:pt>
                <c:pt idx="70">
                  <c:v>112782052</c:v>
                </c:pt>
                <c:pt idx="71">
                  <c:v>112782052</c:v>
                </c:pt>
                <c:pt idx="72">
                  <c:v>112782052</c:v>
                </c:pt>
                <c:pt idx="73">
                  <c:v>112782052</c:v>
                </c:pt>
                <c:pt idx="74">
                  <c:v>112782052</c:v>
                </c:pt>
                <c:pt idx="75">
                  <c:v>112782052</c:v>
                </c:pt>
                <c:pt idx="76">
                  <c:v>112782052</c:v>
                </c:pt>
                <c:pt idx="77">
                  <c:v>112782052</c:v>
                </c:pt>
                <c:pt idx="78">
                  <c:v>112782052</c:v>
                </c:pt>
                <c:pt idx="79">
                  <c:v>112782052</c:v>
                </c:pt>
                <c:pt idx="80">
                  <c:v>112782052</c:v>
                </c:pt>
                <c:pt idx="81">
                  <c:v>112782052</c:v>
                </c:pt>
                <c:pt idx="82">
                  <c:v>112782052</c:v>
                </c:pt>
                <c:pt idx="83">
                  <c:v>112782052</c:v>
                </c:pt>
                <c:pt idx="84">
                  <c:v>112782052</c:v>
                </c:pt>
                <c:pt idx="85">
                  <c:v>112782052</c:v>
                </c:pt>
                <c:pt idx="86">
                  <c:v>112782052</c:v>
                </c:pt>
                <c:pt idx="87">
                  <c:v>112782052</c:v>
                </c:pt>
                <c:pt idx="88">
                  <c:v>112782052</c:v>
                </c:pt>
                <c:pt idx="89">
                  <c:v>112782052</c:v>
                </c:pt>
                <c:pt idx="90">
                  <c:v>112782052</c:v>
                </c:pt>
                <c:pt idx="91">
                  <c:v>112782052</c:v>
                </c:pt>
                <c:pt idx="92">
                  <c:v>112782052</c:v>
                </c:pt>
                <c:pt idx="93">
                  <c:v>112782052</c:v>
                </c:pt>
                <c:pt idx="94">
                  <c:v>112782052</c:v>
                </c:pt>
                <c:pt idx="95">
                  <c:v>112782052</c:v>
                </c:pt>
                <c:pt idx="96">
                  <c:v>112782052</c:v>
                </c:pt>
                <c:pt idx="97">
                  <c:v>112782052</c:v>
                </c:pt>
                <c:pt idx="98">
                  <c:v>112782052</c:v>
                </c:pt>
                <c:pt idx="99">
                  <c:v>112782052</c:v>
                </c:pt>
                <c:pt idx="100">
                  <c:v>112782052</c:v>
                </c:pt>
                <c:pt idx="101">
                  <c:v>112782052</c:v>
                </c:pt>
                <c:pt idx="102">
                  <c:v>112782052</c:v>
                </c:pt>
                <c:pt idx="103">
                  <c:v>112782052</c:v>
                </c:pt>
                <c:pt idx="104">
                  <c:v>112782052</c:v>
                </c:pt>
                <c:pt idx="105">
                  <c:v>112782052</c:v>
                </c:pt>
                <c:pt idx="106">
                  <c:v>112782052</c:v>
                </c:pt>
                <c:pt idx="107">
                  <c:v>112782052</c:v>
                </c:pt>
                <c:pt idx="108">
                  <c:v>112782052</c:v>
                </c:pt>
                <c:pt idx="109">
                  <c:v>112782052</c:v>
                </c:pt>
                <c:pt idx="110">
                  <c:v>112782052</c:v>
                </c:pt>
                <c:pt idx="111">
                  <c:v>112782052</c:v>
                </c:pt>
                <c:pt idx="112">
                  <c:v>112782052</c:v>
                </c:pt>
                <c:pt idx="113">
                  <c:v>113419775</c:v>
                </c:pt>
                <c:pt idx="114">
                  <c:v>113419775</c:v>
                </c:pt>
                <c:pt idx="115">
                  <c:v>113419775</c:v>
                </c:pt>
                <c:pt idx="116">
                  <c:v>113419775</c:v>
                </c:pt>
                <c:pt idx="117">
                  <c:v>113419775</c:v>
                </c:pt>
                <c:pt idx="118">
                  <c:v>113419775</c:v>
                </c:pt>
                <c:pt idx="119">
                  <c:v>113419775</c:v>
                </c:pt>
                <c:pt idx="120">
                  <c:v>113419775</c:v>
                </c:pt>
                <c:pt idx="121">
                  <c:v>113419775</c:v>
                </c:pt>
                <c:pt idx="122">
                  <c:v>113419775</c:v>
                </c:pt>
                <c:pt idx="123">
                  <c:v>113419775</c:v>
                </c:pt>
                <c:pt idx="124">
                  <c:v>113419775</c:v>
                </c:pt>
                <c:pt idx="125">
                  <c:v>113419775</c:v>
                </c:pt>
                <c:pt idx="126">
                  <c:v>113419775</c:v>
                </c:pt>
                <c:pt idx="127">
                  <c:v>113419775</c:v>
                </c:pt>
                <c:pt idx="128">
                  <c:v>113419775</c:v>
                </c:pt>
                <c:pt idx="129">
                  <c:v>113419775</c:v>
                </c:pt>
                <c:pt idx="130">
                  <c:v>113419775</c:v>
                </c:pt>
                <c:pt idx="131">
                  <c:v>113419775</c:v>
                </c:pt>
                <c:pt idx="132">
                  <c:v>113419775</c:v>
                </c:pt>
                <c:pt idx="133">
                  <c:v>113419775</c:v>
                </c:pt>
                <c:pt idx="134">
                  <c:v>113419775</c:v>
                </c:pt>
                <c:pt idx="135">
                  <c:v>113419775</c:v>
                </c:pt>
                <c:pt idx="136">
                  <c:v>113419775</c:v>
                </c:pt>
                <c:pt idx="137">
                  <c:v>113419775</c:v>
                </c:pt>
                <c:pt idx="138">
                  <c:v>113419775</c:v>
                </c:pt>
                <c:pt idx="139">
                  <c:v>113419775</c:v>
                </c:pt>
                <c:pt idx="140">
                  <c:v>113419775</c:v>
                </c:pt>
                <c:pt idx="141">
                  <c:v>113419775</c:v>
                </c:pt>
                <c:pt idx="142">
                  <c:v>113419775</c:v>
                </c:pt>
                <c:pt idx="143">
                  <c:v>113419775</c:v>
                </c:pt>
                <c:pt idx="144">
                  <c:v>113419775</c:v>
                </c:pt>
                <c:pt idx="145">
                  <c:v>113419775</c:v>
                </c:pt>
                <c:pt idx="146">
                  <c:v>113419775</c:v>
                </c:pt>
                <c:pt idx="147">
                  <c:v>113419775</c:v>
                </c:pt>
                <c:pt idx="148">
                  <c:v>113419775</c:v>
                </c:pt>
                <c:pt idx="149">
                  <c:v>113419775</c:v>
                </c:pt>
                <c:pt idx="150">
                  <c:v>113419775</c:v>
                </c:pt>
                <c:pt idx="151">
                  <c:v>113419775</c:v>
                </c:pt>
                <c:pt idx="152">
                  <c:v>113419775</c:v>
                </c:pt>
                <c:pt idx="153">
                  <c:v>113419775</c:v>
                </c:pt>
                <c:pt idx="154">
                  <c:v>113419775</c:v>
                </c:pt>
                <c:pt idx="155">
                  <c:v>113419775</c:v>
                </c:pt>
                <c:pt idx="156">
                  <c:v>113419775</c:v>
                </c:pt>
                <c:pt idx="157">
                  <c:v>113419775</c:v>
                </c:pt>
                <c:pt idx="158">
                  <c:v>113419775</c:v>
                </c:pt>
                <c:pt idx="159">
                  <c:v>113419775</c:v>
                </c:pt>
                <c:pt idx="160">
                  <c:v>113419775</c:v>
                </c:pt>
                <c:pt idx="161">
                  <c:v>113419775</c:v>
                </c:pt>
                <c:pt idx="162">
                  <c:v>113419775</c:v>
                </c:pt>
                <c:pt idx="163">
                  <c:v>113419775</c:v>
                </c:pt>
                <c:pt idx="164">
                  <c:v>113419775</c:v>
                </c:pt>
                <c:pt idx="165">
                  <c:v>113419775</c:v>
                </c:pt>
                <c:pt idx="166">
                  <c:v>113419775</c:v>
                </c:pt>
                <c:pt idx="167">
                  <c:v>113419775</c:v>
                </c:pt>
                <c:pt idx="168">
                  <c:v>113419775</c:v>
                </c:pt>
                <c:pt idx="169">
                  <c:v>113419775</c:v>
                </c:pt>
                <c:pt idx="170">
                  <c:v>113419775</c:v>
                </c:pt>
                <c:pt idx="171">
                  <c:v>113419775</c:v>
                </c:pt>
                <c:pt idx="172">
                  <c:v>113419775</c:v>
                </c:pt>
                <c:pt idx="173">
                  <c:v>113419775</c:v>
                </c:pt>
                <c:pt idx="174">
                  <c:v>113419775</c:v>
                </c:pt>
                <c:pt idx="175">
                  <c:v>113419775</c:v>
                </c:pt>
                <c:pt idx="176">
                  <c:v>113419775</c:v>
                </c:pt>
                <c:pt idx="177">
                  <c:v>113419775</c:v>
                </c:pt>
                <c:pt idx="178">
                  <c:v>113419775</c:v>
                </c:pt>
                <c:pt idx="179">
                  <c:v>113419775</c:v>
                </c:pt>
                <c:pt idx="180">
                  <c:v>113419775</c:v>
                </c:pt>
                <c:pt idx="181">
                  <c:v>113419775</c:v>
                </c:pt>
                <c:pt idx="182">
                  <c:v>113419775</c:v>
                </c:pt>
                <c:pt idx="183">
                  <c:v>113419775</c:v>
                </c:pt>
                <c:pt idx="184">
                  <c:v>113419775</c:v>
                </c:pt>
                <c:pt idx="185">
                  <c:v>113419775</c:v>
                </c:pt>
                <c:pt idx="186">
                  <c:v>113419775</c:v>
                </c:pt>
                <c:pt idx="187">
                  <c:v>113419775</c:v>
                </c:pt>
                <c:pt idx="188">
                  <c:v>113419775</c:v>
                </c:pt>
                <c:pt idx="189">
                  <c:v>113419775</c:v>
                </c:pt>
                <c:pt idx="190">
                  <c:v>113419775</c:v>
                </c:pt>
                <c:pt idx="191">
                  <c:v>113419775</c:v>
                </c:pt>
                <c:pt idx="192">
                  <c:v>113419775</c:v>
                </c:pt>
                <c:pt idx="193">
                  <c:v>113419775</c:v>
                </c:pt>
                <c:pt idx="194">
                  <c:v>113419775</c:v>
                </c:pt>
                <c:pt idx="195">
                  <c:v>113419775</c:v>
                </c:pt>
                <c:pt idx="196">
                  <c:v>113419775</c:v>
                </c:pt>
                <c:pt idx="197">
                  <c:v>113419775</c:v>
                </c:pt>
                <c:pt idx="198">
                  <c:v>113419775</c:v>
                </c:pt>
                <c:pt idx="199">
                  <c:v>113419775</c:v>
                </c:pt>
                <c:pt idx="200">
                  <c:v>113419775</c:v>
                </c:pt>
                <c:pt idx="201">
                  <c:v>113419775</c:v>
                </c:pt>
                <c:pt idx="202">
                  <c:v>113419775</c:v>
                </c:pt>
                <c:pt idx="203">
                  <c:v>113419775</c:v>
                </c:pt>
                <c:pt idx="204">
                  <c:v>113419775</c:v>
                </c:pt>
                <c:pt idx="205">
                  <c:v>113419775</c:v>
                </c:pt>
                <c:pt idx="206">
                  <c:v>113419775</c:v>
                </c:pt>
                <c:pt idx="207">
                  <c:v>113419775</c:v>
                </c:pt>
                <c:pt idx="208">
                  <c:v>113419775</c:v>
                </c:pt>
                <c:pt idx="209">
                  <c:v>113419775</c:v>
                </c:pt>
                <c:pt idx="210">
                  <c:v>113419775</c:v>
                </c:pt>
                <c:pt idx="211">
                  <c:v>113419775</c:v>
                </c:pt>
                <c:pt idx="212">
                  <c:v>113419775</c:v>
                </c:pt>
                <c:pt idx="213">
                  <c:v>113419775</c:v>
                </c:pt>
                <c:pt idx="214">
                  <c:v>113419775</c:v>
                </c:pt>
                <c:pt idx="215">
                  <c:v>113419775</c:v>
                </c:pt>
                <c:pt idx="216">
                  <c:v>113419775</c:v>
                </c:pt>
                <c:pt idx="217">
                  <c:v>113419775</c:v>
                </c:pt>
                <c:pt idx="218">
                  <c:v>113419775</c:v>
                </c:pt>
                <c:pt idx="219">
                  <c:v>113419775</c:v>
                </c:pt>
                <c:pt idx="220">
                  <c:v>113419775</c:v>
                </c:pt>
                <c:pt idx="221">
                  <c:v>113419775</c:v>
                </c:pt>
                <c:pt idx="222">
                  <c:v>113419775</c:v>
                </c:pt>
                <c:pt idx="223">
                  <c:v>113419775</c:v>
                </c:pt>
                <c:pt idx="224">
                  <c:v>113419775</c:v>
                </c:pt>
                <c:pt idx="225">
                  <c:v>113419775</c:v>
                </c:pt>
                <c:pt idx="226">
                  <c:v>113419775</c:v>
                </c:pt>
                <c:pt idx="227">
                  <c:v>113419775</c:v>
                </c:pt>
                <c:pt idx="228">
                  <c:v>113419775</c:v>
                </c:pt>
                <c:pt idx="229">
                  <c:v>113419775</c:v>
                </c:pt>
                <c:pt idx="230">
                  <c:v>113419775</c:v>
                </c:pt>
                <c:pt idx="231">
                  <c:v>113419775</c:v>
                </c:pt>
                <c:pt idx="232">
                  <c:v>113419775</c:v>
                </c:pt>
                <c:pt idx="233">
                  <c:v>113419775</c:v>
                </c:pt>
                <c:pt idx="234">
                  <c:v>113419775</c:v>
                </c:pt>
                <c:pt idx="235">
                  <c:v>113419775</c:v>
                </c:pt>
                <c:pt idx="236">
                  <c:v>113419775</c:v>
                </c:pt>
                <c:pt idx="237">
                  <c:v>113419775</c:v>
                </c:pt>
                <c:pt idx="238">
                  <c:v>113419775</c:v>
                </c:pt>
                <c:pt idx="239">
                  <c:v>113419775</c:v>
                </c:pt>
                <c:pt idx="240">
                  <c:v>113419775</c:v>
                </c:pt>
                <c:pt idx="241">
                  <c:v>113419775</c:v>
                </c:pt>
                <c:pt idx="242">
                  <c:v>113419775</c:v>
                </c:pt>
                <c:pt idx="243">
                  <c:v>113419775</c:v>
                </c:pt>
                <c:pt idx="244">
                  <c:v>113419775</c:v>
                </c:pt>
                <c:pt idx="245">
                  <c:v>113419775</c:v>
                </c:pt>
                <c:pt idx="246">
                  <c:v>113419775</c:v>
                </c:pt>
                <c:pt idx="247">
                  <c:v>113419775</c:v>
                </c:pt>
                <c:pt idx="248">
                  <c:v>113419775</c:v>
                </c:pt>
                <c:pt idx="249">
                  <c:v>113419775</c:v>
                </c:pt>
                <c:pt idx="250">
                  <c:v>113419775</c:v>
                </c:pt>
                <c:pt idx="251">
                  <c:v>113419775</c:v>
                </c:pt>
                <c:pt idx="252">
                  <c:v>113419775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90-DA46-B802-801F6FD56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595584"/>
        <c:axId val="1631122816"/>
      </c:lineChart>
      <c:catAx>
        <c:axId val="103092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047904"/>
        <c:crosses val="autoZero"/>
        <c:auto val="1"/>
        <c:lblAlgn val="ctr"/>
        <c:lblOffset val="100"/>
        <c:noMultiLvlLbl val="0"/>
      </c:catAx>
      <c:valAx>
        <c:axId val="1031047904"/>
        <c:scaling>
          <c:orientation val="minMax"/>
          <c:max val="6.75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929024"/>
        <c:crosses val="autoZero"/>
        <c:crossBetween val="between"/>
      </c:valAx>
      <c:valAx>
        <c:axId val="1631122816"/>
        <c:scaling>
          <c:orientation val="minMax"/>
          <c:min val="1127000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  <a:p>
                <a:pPr>
                  <a:defRPr/>
                </a:pPr>
                <a:r>
                  <a:rPr lang="en-GB"/>
                  <a:t>Number of shares</a:t>
                </a:r>
                <a:r>
                  <a:rPr lang="en-GB" baseline="0"/>
                  <a:t> on issue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95584"/>
        <c:crosses val="max"/>
        <c:crossBetween val="between"/>
      </c:valAx>
      <c:catAx>
        <c:axId val="1352595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11228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800" b="1">
                <a:solidFill>
                  <a:schemeClr val="bg2">
                    <a:lumMod val="50000"/>
                  </a:schemeClr>
                </a:solidFill>
              </a:rPr>
              <a:t>Close price yield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'AEF-keep'!$G$1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'AEF-keep'!$C$2:$C$258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'AEF-keep'!$G$2:$G$258</c:f>
              <c:numCache>
                <c:formatCode>"$"#,##0.00</c:formatCode>
                <c:ptCount val="257"/>
                <c:pt idx="0">
                  <c:v>4.3</c:v>
                </c:pt>
                <c:pt idx="1">
                  <c:v>4.32</c:v>
                </c:pt>
                <c:pt idx="2">
                  <c:v>4.18</c:v>
                </c:pt>
                <c:pt idx="3">
                  <c:v>4.3</c:v>
                </c:pt>
                <c:pt idx="4">
                  <c:v>4.22</c:v>
                </c:pt>
                <c:pt idx="5">
                  <c:v>4.25</c:v>
                </c:pt>
                <c:pt idx="6">
                  <c:v>4</c:v>
                </c:pt>
                <c:pt idx="7">
                  <c:v>4.1399999999999997</c:v>
                </c:pt>
                <c:pt idx="8">
                  <c:v>4.1399999999999997</c:v>
                </c:pt>
                <c:pt idx="9">
                  <c:v>4.1100000000000003</c:v>
                </c:pt>
                <c:pt idx="10">
                  <c:v>4.0599999999999996</c:v>
                </c:pt>
                <c:pt idx="11">
                  <c:v>4.21</c:v>
                </c:pt>
                <c:pt idx="12">
                  <c:v>4.2699999999999996</c:v>
                </c:pt>
                <c:pt idx="13">
                  <c:v>4.22</c:v>
                </c:pt>
                <c:pt idx="14">
                  <c:v>4.1399999999999997</c:v>
                </c:pt>
                <c:pt idx="15">
                  <c:v>4.1100000000000003</c:v>
                </c:pt>
                <c:pt idx="16">
                  <c:v>4.05</c:v>
                </c:pt>
                <c:pt idx="17">
                  <c:v>4.1399999999999997</c:v>
                </c:pt>
                <c:pt idx="18">
                  <c:v>4.0599999999999996</c:v>
                </c:pt>
                <c:pt idx="19">
                  <c:v>4.03</c:v>
                </c:pt>
                <c:pt idx="20">
                  <c:v>3.97</c:v>
                </c:pt>
                <c:pt idx="21">
                  <c:v>3.89</c:v>
                </c:pt>
                <c:pt idx="22">
                  <c:v>3.98</c:v>
                </c:pt>
                <c:pt idx="23">
                  <c:v>4.1100000000000003</c:v>
                </c:pt>
                <c:pt idx="24">
                  <c:v>3.85</c:v>
                </c:pt>
                <c:pt idx="25">
                  <c:v>3.8</c:v>
                </c:pt>
                <c:pt idx="26">
                  <c:v>3.95</c:v>
                </c:pt>
                <c:pt idx="27">
                  <c:v>3.8</c:v>
                </c:pt>
                <c:pt idx="28">
                  <c:v>3.8</c:v>
                </c:pt>
                <c:pt idx="29">
                  <c:v>3.95</c:v>
                </c:pt>
                <c:pt idx="30">
                  <c:v>3.86</c:v>
                </c:pt>
                <c:pt idx="31">
                  <c:v>3.81</c:v>
                </c:pt>
                <c:pt idx="32">
                  <c:v>3.77</c:v>
                </c:pt>
                <c:pt idx="33">
                  <c:v>3.85</c:v>
                </c:pt>
                <c:pt idx="34">
                  <c:v>3.97</c:v>
                </c:pt>
                <c:pt idx="35">
                  <c:v>3.93</c:v>
                </c:pt>
                <c:pt idx="36">
                  <c:v>4.0199999999999996</c:v>
                </c:pt>
                <c:pt idx="37">
                  <c:v>4.0199999999999996</c:v>
                </c:pt>
                <c:pt idx="38">
                  <c:v>4.0999999999999996</c:v>
                </c:pt>
                <c:pt idx="39">
                  <c:v>3.98</c:v>
                </c:pt>
                <c:pt idx="40">
                  <c:v>3.96</c:v>
                </c:pt>
                <c:pt idx="41">
                  <c:v>3.88</c:v>
                </c:pt>
                <c:pt idx="42">
                  <c:v>3.85</c:v>
                </c:pt>
                <c:pt idx="43">
                  <c:v>4.09</c:v>
                </c:pt>
                <c:pt idx="44">
                  <c:v>4.1500000000000004</c:v>
                </c:pt>
                <c:pt idx="45">
                  <c:v>4.0999999999999996</c:v>
                </c:pt>
                <c:pt idx="46">
                  <c:v>4</c:v>
                </c:pt>
                <c:pt idx="47">
                  <c:v>3.88</c:v>
                </c:pt>
                <c:pt idx="48">
                  <c:v>3.96</c:v>
                </c:pt>
                <c:pt idx="49">
                  <c:v>3.86</c:v>
                </c:pt>
                <c:pt idx="50">
                  <c:v>3.97</c:v>
                </c:pt>
                <c:pt idx="51">
                  <c:v>3.96</c:v>
                </c:pt>
                <c:pt idx="52">
                  <c:v>4.16</c:v>
                </c:pt>
                <c:pt idx="53">
                  <c:v>4.1900000000000004</c:v>
                </c:pt>
                <c:pt idx="54">
                  <c:v>4.3899999999999997</c:v>
                </c:pt>
                <c:pt idx="55">
                  <c:v>4.3</c:v>
                </c:pt>
                <c:pt idx="56">
                  <c:v>4.2</c:v>
                </c:pt>
                <c:pt idx="57">
                  <c:v>4.26</c:v>
                </c:pt>
                <c:pt idx="58">
                  <c:v>4.29</c:v>
                </c:pt>
                <c:pt idx="59">
                  <c:v>4.25</c:v>
                </c:pt>
                <c:pt idx="60">
                  <c:v>4.29</c:v>
                </c:pt>
                <c:pt idx="61">
                  <c:v>4.38</c:v>
                </c:pt>
                <c:pt idx="62">
                  <c:v>4.26</c:v>
                </c:pt>
                <c:pt idx="63">
                  <c:v>4.22</c:v>
                </c:pt>
                <c:pt idx="64">
                  <c:v>4.32</c:v>
                </c:pt>
                <c:pt idx="65">
                  <c:v>4.37</c:v>
                </c:pt>
                <c:pt idx="66">
                  <c:v>4.46</c:v>
                </c:pt>
                <c:pt idx="67">
                  <c:v>4.3</c:v>
                </c:pt>
                <c:pt idx="68">
                  <c:v>4.2699999999999996</c:v>
                </c:pt>
                <c:pt idx="69">
                  <c:v>4.32</c:v>
                </c:pt>
                <c:pt idx="70">
                  <c:v>4.4000000000000004</c:v>
                </c:pt>
                <c:pt idx="71">
                  <c:v>4.28</c:v>
                </c:pt>
                <c:pt idx="72">
                  <c:v>4.33</c:v>
                </c:pt>
                <c:pt idx="73">
                  <c:v>4.34</c:v>
                </c:pt>
                <c:pt idx="74">
                  <c:v>4.28</c:v>
                </c:pt>
                <c:pt idx="75">
                  <c:v>4.32</c:v>
                </c:pt>
                <c:pt idx="76">
                  <c:v>4.22</c:v>
                </c:pt>
                <c:pt idx="77">
                  <c:v>4.07</c:v>
                </c:pt>
                <c:pt idx="78">
                  <c:v>4.1500000000000004</c:v>
                </c:pt>
                <c:pt idx="79">
                  <c:v>4.18</c:v>
                </c:pt>
                <c:pt idx="80">
                  <c:v>4.1900000000000004</c:v>
                </c:pt>
                <c:pt idx="81">
                  <c:v>4.13</c:v>
                </c:pt>
                <c:pt idx="82">
                  <c:v>4.09</c:v>
                </c:pt>
                <c:pt idx="83">
                  <c:v>4.04</c:v>
                </c:pt>
                <c:pt idx="84">
                  <c:v>4.04</c:v>
                </c:pt>
                <c:pt idx="85">
                  <c:v>4.1500000000000004</c:v>
                </c:pt>
                <c:pt idx="86">
                  <c:v>4.26</c:v>
                </c:pt>
                <c:pt idx="87">
                  <c:v>4.45</c:v>
                </c:pt>
                <c:pt idx="88">
                  <c:v>4.5</c:v>
                </c:pt>
                <c:pt idx="89">
                  <c:v>4.4000000000000004</c:v>
                </c:pt>
                <c:pt idx="90">
                  <c:v>4.34</c:v>
                </c:pt>
                <c:pt idx="91">
                  <c:v>4.3</c:v>
                </c:pt>
                <c:pt idx="92">
                  <c:v>4.42</c:v>
                </c:pt>
                <c:pt idx="93">
                  <c:v>4.5199999999999996</c:v>
                </c:pt>
                <c:pt idx="94">
                  <c:v>4.5199999999999996</c:v>
                </c:pt>
                <c:pt idx="95">
                  <c:v>4.62</c:v>
                </c:pt>
                <c:pt idx="96">
                  <c:v>4.53</c:v>
                </c:pt>
                <c:pt idx="97">
                  <c:v>4.5199999999999996</c:v>
                </c:pt>
                <c:pt idx="98">
                  <c:v>4.55</c:v>
                </c:pt>
                <c:pt idx="99">
                  <c:v>4.75</c:v>
                </c:pt>
                <c:pt idx="100">
                  <c:v>4.83</c:v>
                </c:pt>
                <c:pt idx="101">
                  <c:v>5.07</c:v>
                </c:pt>
                <c:pt idx="102">
                  <c:v>5.0999999999999996</c:v>
                </c:pt>
                <c:pt idx="103">
                  <c:v>4.92</c:v>
                </c:pt>
                <c:pt idx="104">
                  <c:v>4.8499999999999996</c:v>
                </c:pt>
                <c:pt idx="105">
                  <c:v>4.78</c:v>
                </c:pt>
                <c:pt idx="106">
                  <c:v>4.8</c:v>
                </c:pt>
                <c:pt idx="107">
                  <c:v>4.9800000000000004</c:v>
                </c:pt>
                <c:pt idx="108">
                  <c:v>5.01</c:v>
                </c:pt>
                <c:pt idx="109">
                  <c:v>5.05</c:v>
                </c:pt>
                <c:pt idx="110">
                  <c:v>5</c:v>
                </c:pt>
                <c:pt idx="111">
                  <c:v>5.3</c:v>
                </c:pt>
                <c:pt idx="112">
                  <c:v>5.45</c:v>
                </c:pt>
                <c:pt idx="113">
                  <c:v>5.57</c:v>
                </c:pt>
                <c:pt idx="114">
                  <c:v>5.6</c:v>
                </c:pt>
                <c:pt idx="115">
                  <c:v>5.68</c:v>
                </c:pt>
                <c:pt idx="116">
                  <c:v>5.55</c:v>
                </c:pt>
                <c:pt idx="117">
                  <c:v>5.58</c:v>
                </c:pt>
                <c:pt idx="118">
                  <c:v>5.69</c:v>
                </c:pt>
                <c:pt idx="119">
                  <c:v>5.58</c:v>
                </c:pt>
                <c:pt idx="120">
                  <c:v>5.44</c:v>
                </c:pt>
                <c:pt idx="121">
                  <c:v>5.41</c:v>
                </c:pt>
                <c:pt idx="122">
                  <c:v>5.37</c:v>
                </c:pt>
                <c:pt idx="123">
                  <c:v>5.21</c:v>
                </c:pt>
                <c:pt idx="124">
                  <c:v>5.37</c:v>
                </c:pt>
                <c:pt idx="125">
                  <c:v>5.29</c:v>
                </c:pt>
                <c:pt idx="126">
                  <c:v>5.34</c:v>
                </c:pt>
                <c:pt idx="127">
                  <c:v>5.27</c:v>
                </c:pt>
                <c:pt idx="128">
                  <c:v>5.37</c:v>
                </c:pt>
                <c:pt idx="129">
                  <c:v>5.38</c:v>
                </c:pt>
                <c:pt idx="130">
                  <c:v>5.2</c:v>
                </c:pt>
                <c:pt idx="131">
                  <c:v>5.22</c:v>
                </c:pt>
                <c:pt idx="132">
                  <c:v>5.15</c:v>
                </c:pt>
                <c:pt idx="133">
                  <c:v>5.27</c:v>
                </c:pt>
                <c:pt idx="134">
                  <c:v>5.3</c:v>
                </c:pt>
                <c:pt idx="135">
                  <c:v>5.31</c:v>
                </c:pt>
                <c:pt idx="136">
                  <c:v>5.36</c:v>
                </c:pt>
                <c:pt idx="137">
                  <c:v>5.29</c:v>
                </c:pt>
                <c:pt idx="138">
                  <c:v>5.25</c:v>
                </c:pt>
                <c:pt idx="139">
                  <c:v>5.12</c:v>
                </c:pt>
                <c:pt idx="140">
                  <c:v>5.22</c:v>
                </c:pt>
                <c:pt idx="141">
                  <c:v>5.3</c:v>
                </c:pt>
                <c:pt idx="142">
                  <c:v>5.0999999999999996</c:v>
                </c:pt>
                <c:pt idx="143">
                  <c:v>5.0999999999999996</c:v>
                </c:pt>
                <c:pt idx="144">
                  <c:v>5.09</c:v>
                </c:pt>
                <c:pt idx="145">
                  <c:v>4.95</c:v>
                </c:pt>
                <c:pt idx="146">
                  <c:v>5.05</c:v>
                </c:pt>
                <c:pt idx="147">
                  <c:v>4.96</c:v>
                </c:pt>
                <c:pt idx="148">
                  <c:v>4.92</c:v>
                </c:pt>
                <c:pt idx="149">
                  <c:v>4.9400000000000004</c:v>
                </c:pt>
                <c:pt idx="150">
                  <c:v>4.99</c:v>
                </c:pt>
                <c:pt idx="151">
                  <c:v>4.8499999999999996</c:v>
                </c:pt>
                <c:pt idx="152">
                  <c:v>4.83</c:v>
                </c:pt>
                <c:pt idx="153">
                  <c:v>4.76</c:v>
                </c:pt>
                <c:pt idx="154">
                  <c:v>4.7300000000000004</c:v>
                </c:pt>
                <c:pt idx="155">
                  <c:v>4.97</c:v>
                </c:pt>
                <c:pt idx="156">
                  <c:v>4.9800000000000004</c:v>
                </c:pt>
                <c:pt idx="157">
                  <c:v>4.99</c:v>
                </c:pt>
                <c:pt idx="158">
                  <c:v>4.87</c:v>
                </c:pt>
                <c:pt idx="159">
                  <c:v>4.9000000000000004</c:v>
                </c:pt>
                <c:pt idx="160">
                  <c:v>4.96</c:v>
                </c:pt>
                <c:pt idx="161">
                  <c:v>5.05</c:v>
                </c:pt>
                <c:pt idx="162">
                  <c:v>4.9000000000000004</c:v>
                </c:pt>
                <c:pt idx="163">
                  <c:v>5.08</c:v>
                </c:pt>
                <c:pt idx="164">
                  <c:v>5.29</c:v>
                </c:pt>
                <c:pt idx="165">
                  <c:v>5.29</c:v>
                </c:pt>
                <c:pt idx="166">
                  <c:v>5.21</c:v>
                </c:pt>
                <c:pt idx="167">
                  <c:v>5.15</c:v>
                </c:pt>
                <c:pt idx="168">
                  <c:v>5.07</c:v>
                </c:pt>
                <c:pt idx="169">
                  <c:v>6.2</c:v>
                </c:pt>
                <c:pt idx="170">
                  <c:v>6.23</c:v>
                </c:pt>
                <c:pt idx="171">
                  <c:v>6.46</c:v>
                </c:pt>
                <c:pt idx="172">
                  <c:v>6.43</c:v>
                </c:pt>
                <c:pt idx="173">
                  <c:v>6.02</c:v>
                </c:pt>
                <c:pt idx="174">
                  <c:v>6.02</c:v>
                </c:pt>
                <c:pt idx="175">
                  <c:v>5.69</c:v>
                </c:pt>
                <c:pt idx="176">
                  <c:v>5.64</c:v>
                </c:pt>
                <c:pt idx="177">
                  <c:v>5.27</c:v>
                </c:pt>
                <c:pt idx="178">
                  <c:v>5.43</c:v>
                </c:pt>
                <c:pt idx="179">
                  <c:v>5.6</c:v>
                </c:pt>
                <c:pt idx="180">
                  <c:v>5.61</c:v>
                </c:pt>
                <c:pt idx="181">
                  <c:v>5.65</c:v>
                </c:pt>
                <c:pt idx="182">
                  <c:v>5.55</c:v>
                </c:pt>
                <c:pt idx="183">
                  <c:v>5.68</c:v>
                </c:pt>
                <c:pt idx="184">
                  <c:v>5.9</c:v>
                </c:pt>
                <c:pt idx="185">
                  <c:v>5.81</c:v>
                </c:pt>
                <c:pt idx="186">
                  <c:v>5.77</c:v>
                </c:pt>
                <c:pt idx="187">
                  <c:v>5.89</c:v>
                </c:pt>
                <c:pt idx="188">
                  <c:v>5.89</c:v>
                </c:pt>
                <c:pt idx="189">
                  <c:v>5.83</c:v>
                </c:pt>
                <c:pt idx="190">
                  <c:v>5.95</c:v>
                </c:pt>
                <c:pt idx="191">
                  <c:v>5.9</c:v>
                </c:pt>
                <c:pt idx="192">
                  <c:v>5.92</c:v>
                </c:pt>
                <c:pt idx="193">
                  <c:v>5.84</c:v>
                </c:pt>
                <c:pt idx="194">
                  <c:v>5.62</c:v>
                </c:pt>
                <c:pt idx="195">
                  <c:v>5.59</c:v>
                </c:pt>
                <c:pt idx="196">
                  <c:v>5.15</c:v>
                </c:pt>
                <c:pt idx="197">
                  <c:v>5.1100000000000003</c:v>
                </c:pt>
                <c:pt idx="198">
                  <c:v>4.9800000000000004</c:v>
                </c:pt>
                <c:pt idx="199">
                  <c:v>5.3</c:v>
                </c:pt>
                <c:pt idx="200">
                  <c:v>5.27</c:v>
                </c:pt>
                <c:pt idx="201">
                  <c:v>5.16</c:v>
                </c:pt>
                <c:pt idx="202">
                  <c:v>5.0599999999999996</c:v>
                </c:pt>
                <c:pt idx="203">
                  <c:v>4.97</c:v>
                </c:pt>
                <c:pt idx="204">
                  <c:v>5.01</c:v>
                </c:pt>
                <c:pt idx="205">
                  <c:v>5</c:v>
                </c:pt>
                <c:pt idx="206">
                  <c:v>5.25</c:v>
                </c:pt>
                <c:pt idx="207">
                  <c:v>5.25</c:v>
                </c:pt>
                <c:pt idx="208">
                  <c:v>5.13</c:v>
                </c:pt>
                <c:pt idx="209">
                  <c:v>5.28</c:v>
                </c:pt>
                <c:pt idx="210">
                  <c:v>5.2</c:v>
                </c:pt>
                <c:pt idx="211">
                  <c:v>5.26</c:v>
                </c:pt>
                <c:pt idx="212">
                  <c:v>5.3</c:v>
                </c:pt>
                <c:pt idx="213">
                  <c:v>5.16</c:v>
                </c:pt>
                <c:pt idx="214">
                  <c:v>5.23</c:v>
                </c:pt>
                <c:pt idx="215">
                  <c:v>5.51</c:v>
                </c:pt>
                <c:pt idx="216">
                  <c:v>5.52</c:v>
                </c:pt>
                <c:pt idx="217">
                  <c:v>5.68</c:v>
                </c:pt>
                <c:pt idx="218">
                  <c:v>5.87</c:v>
                </c:pt>
                <c:pt idx="219">
                  <c:v>6.04</c:v>
                </c:pt>
                <c:pt idx="220">
                  <c:v>6.15</c:v>
                </c:pt>
                <c:pt idx="221">
                  <c:v>6.21</c:v>
                </c:pt>
                <c:pt idx="222">
                  <c:v>6.05</c:v>
                </c:pt>
                <c:pt idx="223">
                  <c:v>5.9</c:v>
                </c:pt>
                <c:pt idx="224">
                  <c:v>6</c:v>
                </c:pt>
                <c:pt idx="225">
                  <c:v>6.04</c:v>
                </c:pt>
                <c:pt idx="226">
                  <c:v>6.03</c:v>
                </c:pt>
                <c:pt idx="227">
                  <c:v>5.85</c:v>
                </c:pt>
                <c:pt idx="228">
                  <c:v>5.88</c:v>
                </c:pt>
                <c:pt idx="229">
                  <c:v>5.86</c:v>
                </c:pt>
                <c:pt idx="230">
                  <c:v>5.82</c:v>
                </c:pt>
                <c:pt idx="231">
                  <c:v>5.8</c:v>
                </c:pt>
                <c:pt idx="232">
                  <c:v>5.9</c:v>
                </c:pt>
                <c:pt idx="233">
                  <c:v>6</c:v>
                </c:pt>
                <c:pt idx="234">
                  <c:v>6.1</c:v>
                </c:pt>
                <c:pt idx="235">
                  <c:v>6.22</c:v>
                </c:pt>
                <c:pt idx="236">
                  <c:v>6.14</c:v>
                </c:pt>
                <c:pt idx="237">
                  <c:v>6.03</c:v>
                </c:pt>
                <c:pt idx="238">
                  <c:v>6.07</c:v>
                </c:pt>
                <c:pt idx="239">
                  <c:v>5.86</c:v>
                </c:pt>
                <c:pt idx="240">
                  <c:v>6.06</c:v>
                </c:pt>
                <c:pt idx="241">
                  <c:v>6.13</c:v>
                </c:pt>
                <c:pt idx="242">
                  <c:v>6.06</c:v>
                </c:pt>
                <c:pt idx="243">
                  <c:v>6.01</c:v>
                </c:pt>
                <c:pt idx="244">
                  <c:v>5.99</c:v>
                </c:pt>
                <c:pt idx="245">
                  <c:v>6.1</c:v>
                </c:pt>
                <c:pt idx="246">
                  <c:v>6.06</c:v>
                </c:pt>
                <c:pt idx="247">
                  <c:v>6.16</c:v>
                </c:pt>
                <c:pt idx="248">
                  <c:v>6.01</c:v>
                </c:pt>
                <c:pt idx="249">
                  <c:v>6.16</c:v>
                </c:pt>
                <c:pt idx="250">
                  <c:v>6.28</c:v>
                </c:pt>
                <c:pt idx="251">
                  <c:v>6.19</c:v>
                </c:pt>
                <c:pt idx="252">
                  <c:v>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8-0A46-B56F-D41ADB865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9978399"/>
        <c:axId val="259950559"/>
      </c:barChart>
      <c:lineChart>
        <c:grouping val="standard"/>
        <c:varyColors val="0"/>
        <c:ser>
          <c:idx val="1"/>
          <c:order val="1"/>
          <c:tx>
            <c:strRef>
              <c:f>'AEF-keep'!$L$1</c:f>
              <c:strCache>
                <c:ptCount val="1"/>
                <c:pt idx="0">
                  <c:v>Yield (cumulative)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'AEF-keep'!$C$2:$C$258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'AEF-keep'!$L$2:$L$258</c:f>
              <c:numCache>
                <c:formatCode>0.00%</c:formatCode>
                <c:ptCount val="257"/>
                <c:pt idx="0" formatCode="0%">
                  <c:v>0</c:v>
                </c:pt>
                <c:pt idx="1">
                  <c:v>4.6511627906977715E-3</c:v>
                </c:pt>
                <c:pt idx="2">
                  <c:v>-2.7906976744186074E-2</c:v>
                </c:pt>
                <c:pt idx="3">
                  <c:v>0</c:v>
                </c:pt>
                <c:pt idx="4">
                  <c:v>-1.8604651162790753E-2</c:v>
                </c:pt>
                <c:pt idx="5">
                  <c:v>-1.1627906976744096E-2</c:v>
                </c:pt>
                <c:pt idx="6">
                  <c:v>-6.9767441860465129E-2</c:v>
                </c:pt>
                <c:pt idx="7">
                  <c:v>-3.7209302325581395E-2</c:v>
                </c:pt>
                <c:pt idx="8">
                  <c:v>-3.7209302325581395E-2</c:v>
                </c:pt>
                <c:pt idx="9">
                  <c:v>-4.418604651162783E-2</c:v>
                </c:pt>
                <c:pt idx="10">
                  <c:v>-5.5813953488372148E-2</c:v>
                </c:pt>
                <c:pt idx="11">
                  <c:v>-2.0930232558139528E-2</c:v>
                </c:pt>
                <c:pt idx="12">
                  <c:v>-6.9767441860465462E-3</c:v>
                </c:pt>
                <c:pt idx="13">
                  <c:v>-1.8604651162790753E-2</c:v>
                </c:pt>
                <c:pt idx="14">
                  <c:v>-3.7209302325581395E-2</c:v>
                </c:pt>
                <c:pt idx="15">
                  <c:v>-4.418604651162783E-2</c:v>
                </c:pt>
                <c:pt idx="16">
                  <c:v>-5.8139534883720922E-2</c:v>
                </c:pt>
                <c:pt idx="17">
                  <c:v>-3.7209302325581395E-2</c:v>
                </c:pt>
                <c:pt idx="18">
                  <c:v>-5.5813953488372148E-2</c:v>
                </c:pt>
                <c:pt idx="19">
                  <c:v>-6.2790697674418472E-2</c:v>
                </c:pt>
                <c:pt idx="20">
                  <c:v>-7.6744186046511564E-2</c:v>
                </c:pt>
                <c:pt idx="21">
                  <c:v>-9.5348837209302206E-2</c:v>
                </c:pt>
                <c:pt idx="22">
                  <c:v>-7.441860465116279E-2</c:v>
                </c:pt>
                <c:pt idx="23">
                  <c:v>-4.418604651162783E-2</c:v>
                </c:pt>
                <c:pt idx="24">
                  <c:v>-0.10465116279069764</c:v>
                </c:pt>
                <c:pt idx="25">
                  <c:v>-0.11627906976744184</c:v>
                </c:pt>
                <c:pt idx="26">
                  <c:v>-8.1395348837209225E-2</c:v>
                </c:pt>
                <c:pt idx="27">
                  <c:v>-0.11627906976744184</c:v>
                </c:pt>
                <c:pt idx="28">
                  <c:v>-0.11627906976744184</c:v>
                </c:pt>
                <c:pt idx="29">
                  <c:v>-8.1395348837209225E-2</c:v>
                </c:pt>
                <c:pt idx="30">
                  <c:v>-0.10232558139534886</c:v>
                </c:pt>
                <c:pt idx="31">
                  <c:v>-0.11395348837209296</c:v>
                </c:pt>
                <c:pt idx="32">
                  <c:v>-0.12325581395348828</c:v>
                </c:pt>
                <c:pt idx="33">
                  <c:v>-0.10465116279069764</c:v>
                </c:pt>
                <c:pt idx="34">
                  <c:v>-7.6744186046511564E-2</c:v>
                </c:pt>
                <c:pt idx="35">
                  <c:v>-8.6046511627906885E-2</c:v>
                </c:pt>
                <c:pt idx="36">
                  <c:v>-6.5116279069767469E-2</c:v>
                </c:pt>
                <c:pt idx="37">
                  <c:v>-6.5116279069767469E-2</c:v>
                </c:pt>
                <c:pt idx="38">
                  <c:v>-4.6511627906976827E-2</c:v>
                </c:pt>
                <c:pt idx="39">
                  <c:v>-7.441860465116279E-2</c:v>
                </c:pt>
                <c:pt idx="40">
                  <c:v>-7.906976744186045E-2</c:v>
                </c:pt>
                <c:pt idx="41">
                  <c:v>-9.7674418604651203E-2</c:v>
                </c:pt>
                <c:pt idx="42">
                  <c:v>-0.10465116279069764</c:v>
                </c:pt>
                <c:pt idx="43">
                  <c:v>-4.8837209302325602E-2</c:v>
                </c:pt>
                <c:pt idx="44">
                  <c:v>-3.4883720930232398E-2</c:v>
                </c:pt>
                <c:pt idx="45">
                  <c:v>-4.6511627906976827E-2</c:v>
                </c:pt>
                <c:pt idx="46">
                  <c:v>-6.9767441860465129E-2</c:v>
                </c:pt>
                <c:pt idx="47">
                  <c:v>-9.7674418604651203E-2</c:v>
                </c:pt>
                <c:pt idx="48">
                  <c:v>-7.906976744186045E-2</c:v>
                </c:pt>
                <c:pt idx="49">
                  <c:v>-0.10232558139534886</c:v>
                </c:pt>
                <c:pt idx="50">
                  <c:v>-7.6744186046511564E-2</c:v>
                </c:pt>
                <c:pt idx="51">
                  <c:v>-7.906976744186045E-2</c:v>
                </c:pt>
                <c:pt idx="52">
                  <c:v>-3.2558139534883623E-2</c:v>
                </c:pt>
                <c:pt idx="53">
                  <c:v>-2.5581395348837077E-2</c:v>
                </c:pt>
                <c:pt idx="54">
                  <c:v>2.0930232558139528E-2</c:v>
                </c:pt>
                <c:pt idx="55">
                  <c:v>0</c:v>
                </c:pt>
                <c:pt idx="56">
                  <c:v>-2.3255813953488302E-2</c:v>
                </c:pt>
                <c:pt idx="57">
                  <c:v>-9.302325581395321E-3</c:v>
                </c:pt>
                <c:pt idx="58">
                  <c:v>-2.3255813953487747E-3</c:v>
                </c:pt>
                <c:pt idx="59">
                  <c:v>-1.1627906976744096E-2</c:v>
                </c:pt>
                <c:pt idx="60">
                  <c:v>-2.3255813953487747E-3</c:v>
                </c:pt>
                <c:pt idx="61">
                  <c:v>1.8604651162790642E-2</c:v>
                </c:pt>
                <c:pt idx="62">
                  <c:v>-9.302325581395321E-3</c:v>
                </c:pt>
                <c:pt idx="63">
                  <c:v>-1.8604651162790753E-2</c:v>
                </c:pt>
                <c:pt idx="64">
                  <c:v>4.6511627906977715E-3</c:v>
                </c:pt>
                <c:pt idx="65">
                  <c:v>1.6279069767441978E-2</c:v>
                </c:pt>
                <c:pt idx="66">
                  <c:v>3.7209302325581506E-2</c:v>
                </c:pt>
                <c:pt idx="67">
                  <c:v>0</c:v>
                </c:pt>
                <c:pt idx="68">
                  <c:v>-6.9767441860465462E-3</c:v>
                </c:pt>
                <c:pt idx="69">
                  <c:v>4.6511627906977715E-3</c:v>
                </c:pt>
                <c:pt idx="70">
                  <c:v>2.3255813953488413E-2</c:v>
                </c:pt>
                <c:pt idx="71">
                  <c:v>-4.6511627906975495E-3</c:v>
                </c:pt>
                <c:pt idx="72">
                  <c:v>6.9767441860466572E-3</c:v>
                </c:pt>
                <c:pt idx="73">
                  <c:v>9.302325581395321E-3</c:v>
                </c:pt>
                <c:pt idx="74">
                  <c:v>-4.6511627906975495E-3</c:v>
                </c:pt>
                <c:pt idx="75">
                  <c:v>4.6511627906977715E-3</c:v>
                </c:pt>
                <c:pt idx="76">
                  <c:v>-1.8604651162790753E-2</c:v>
                </c:pt>
                <c:pt idx="77">
                  <c:v>-5.3488372093023151E-2</c:v>
                </c:pt>
                <c:pt idx="78">
                  <c:v>-3.4883720930232398E-2</c:v>
                </c:pt>
                <c:pt idx="79">
                  <c:v>-2.7906976744186074E-2</c:v>
                </c:pt>
                <c:pt idx="80">
                  <c:v>-2.5581395348837077E-2</c:v>
                </c:pt>
                <c:pt idx="81">
                  <c:v>-3.953488372093017E-2</c:v>
                </c:pt>
                <c:pt idx="82">
                  <c:v>-4.8837209302325602E-2</c:v>
                </c:pt>
                <c:pt idx="83">
                  <c:v>-6.0465116279069697E-2</c:v>
                </c:pt>
                <c:pt idx="84">
                  <c:v>-6.0465116279069697E-2</c:v>
                </c:pt>
                <c:pt idx="85">
                  <c:v>-3.4883720930232398E-2</c:v>
                </c:pt>
                <c:pt idx="86">
                  <c:v>-9.302325581395321E-3</c:v>
                </c:pt>
                <c:pt idx="87">
                  <c:v>3.488372093023262E-2</c:v>
                </c:pt>
                <c:pt idx="88">
                  <c:v>4.6511627906976827E-2</c:v>
                </c:pt>
                <c:pt idx="89">
                  <c:v>2.3255813953488413E-2</c:v>
                </c:pt>
                <c:pt idx="90">
                  <c:v>9.302325581395321E-3</c:v>
                </c:pt>
                <c:pt idx="91">
                  <c:v>0</c:v>
                </c:pt>
                <c:pt idx="92">
                  <c:v>2.7906976744185963E-2</c:v>
                </c:pt>
                <c:pt idx="93">
                  <c:v>5.1162790697674376E-2</c:v>
                </c:pt>
                <c:pt idx="94">
                  <c:v>5.1162790697674376E-2</c:v>
                </c:pt>
                <c:pt idx="95">
                  <c:v>7.441860465116279E-2</c:v>
                </c:pt>
                <c:pt idx="96">
                  <c:v>5.3488372093023262E-2</c:v>
                </c:pt>
                <c:pt idx="97">
                  <c:v>5.1162790697674376E-2</c:v>
                </c:pt>
                <c:pt idx="98">
                  <c:v>5.8139534883721034E-2</c:v>
                </c:pt>
                <c:pt idx="99">
                  <c:v>0.10465116279069764</c:v>
                </c:pt>
                <c:pt idx="100">
                  <c:v>0.1232558139534885</c:v>
                </c:pt>
                <c:pt idx="101">
                  <c:v>0.17906976744186065</c:v>
                </c:pt>
                <c:pt idx="102">
                  <c:v>0.18604651162790686</c:v>
                </c:pt>
                <c:pt idx="103">
                  <c:v>0.14418604651162803</c:v>
                </c:pt>
                <c:pt idx="104">
                  <c:v>0.12790697674418605</c:v>
                </c:pt>
                <c:pt idx="105">
                  <c:v>0.1116279069767443</c:v>
                </c:pt>
                <c:pt idx="106">
                  <c:v>0.11627906976744184</c:v>
                </c:pt>
                <c:pt idx="107">
                  <c:v>0.15813953488372112</c:v>
                </c:pt>
                <c:pt idx="108">
                  <c:v>0.16511627906976734</c:v>
                </c:pt>
                <c:pt idx="109">
                  <c:v>0.17441860465116288</c:v>
                </c:pt>
                <c:pt idx="110">
                  <c:v>0.16279069767441867</c:v>
                </c:pt>
                <c:pt idx="111">
                  <c:v>0.23255813953488369</c:v>
                </c:pt>
                <c:pt idx="112">
                  <c:v>0.26744186046511631</c:v>
                </c:pt>
                <c:pt idx="113">
                  <c:v>0.29534883720930249</c:v>
                </c:pt>
                <c:pt idx="114">
                  <c:v>0.30232558139534871</c:v>
                </c:pt>
                <c:pt idx="115">
                  <c:v>0.32093023255813957</c:v>
                </c:pt>
                <c:pt idx="116">
                  <c:v>0.29069767441860472</c:v>
                </c:pt>
                <c:pt idx="117">
                  <c:v>0.29767441860465116</c:v>
                </c:pt>
                <c:pt idx="118">
                  <c:v>0.32325581395348846</c:v>
                </c:pt>
                <c:pt idx="119">
                  <c:v>0.29767441860465116</c:v>
                </c:pt>
                <c:pt idx="120">
                  <c:v>0.26511627906976765</c:v>
                </c:pt>
                <c:pt idx="121">
                  <c:v>0.25813953488372099</c:v>
                </c:pt>
                <c:pt idx="122">
                  <c:v>0.24883720930232567</c:v>
                </c:pt>
                <c:pt idx="123">
                  <c:v>0.21162790697674416</c:v>
                </c:pt>
                <c:pt idx="124">
                  <c:v>0.24883720930232567</c:v>
                </c:pt>
                <c:pt idx="125">
                  <c:v>0.23023255813953503</c:v>
                </c:pt>
                <c:pt idx="126">
                  <c:v>0.24186046511627901</c:v>
                </c:pt>
                <c:pt idx="127">
                  <c:v>0.22558139534883725</c:v>
                </c:pt>
                <c:pt idx="128">
                  <c:v>0.24883720930232567</c:v>
                </c:pt>
                <c:pt idx="129">
                  <c:v>0.25116279069767455</c:v>
                </c:pt>
                <c:pt idx="130">
                  <c:v>0.2093023255813955</c:v>
                </c:pt>
                <c:pt idx="131">
                  <c:v>0.21395348837209305</c:v>
                </c:pt>
                <c:pt idx="132">
                  <c:v>0.19767441860465129</c:v>
                </c:pt>
                <c:pt idx="133">
                  <c:v>0.22558139534883725</c:v>
                </c:pt>
                <c:pt idx="134">
                  <c:v>0.23255813953488369</c:v>
                </c:pt>
                <c:pt idx="135">
                  <c:v>0.23488372093023258</c:v>
                </c:pt>
                <c:pt idx="136">
                  <c:v>0.24651162790697678</c:v>
                </c:pt>
                <c:pt idx="137">
                  <c:v>0.23023255813953503</c:v>
                </c:pt>
                <c:pt idx="138">
                  <c:v>0.22093023255813948</c:v>
                </c:pt>
                <c:pt idx="139">
                  <c:v>0.19069767441860463</c:v>
                </c:pt>
                <c:pt idx="140">
                  <c:v>0.21395348837209305</c:v>
                </c:pt>
                <c:pt idx="141">
                  <c:v>0.23255813953488369</c:v>
                </c:pt>
                <c:pt idx="142">
                  <c:v>0.18604651162790686</c:v>
                </c:pt>
                <c:pt idx="143">
                  <c:v>0.18604651162790686</c:v>
                </c:pt>
                <c:pt idx="144">
                  <c:v>0.1837209302325582</c:v>
                </c:pt>
                <c:pt idx="145">
                  <c:v>0.15116279069767447</c:v>
                </c:pt>
                <c:pt idx="146">
                  <c:v>0.17441860465116288</c:v>
                </c:pt>
                <c:pt idx="147">
                  <c:v>0.15348837209302335</c:v>
                </c:pt>
                <c:pt idx="148">
                  <c:v>0.14418604651162803</c:v>
                </c:pt>
                <c:pt idx="149">
                  <c:v>0.1488372093023258</c:v>
                </c:pt>
                <c:pt idx="150">
                  <c:v>0.16046511627906979</c:v>
                </c:pt>
                <c:pt idx="151">
                  <c:v>0.12790697674418605</c:v>
                </c:pt>
                <c:pt idx="152">
                  <c:v>0.1232558139534885</c:v>
                </c:pt>
                <c:pt idx="153">
                  <c:v>0.10697674418604652</c:v>
                </c:pt>
                <c:pt idx="154">
                  <c:v>0.10000000000000009</c:v>
                </c:pt>
                <c:pt idx="155">
                  <c:v>0.15581395348837201</c:v>
                </c:pt>
                <c:pt idx="156">
                  <c:v>0.15813953488372112</c:v>
                </c:pt>
                <c:pt idx="157">
                  <c:v>0.16046511627906979</c:v>
                </c:pt>
                <c:pt idx="158">
                  <c:v>0.13255813953488382</c:v>
                </c:pt>
                <c:pt idx="159">
                  <c:v>0.13953488372093026</c:v>
                </c:pt>
                <c:pt idx="160">
                  <c:v>0.15348837209302335</c:v>
                </c:pt>
                <c:pt idx="161">
                  <c:v>0.17441860465116288</c:v>
                </c:pt>
                <c:pt idx="162">
                  <c:v>0.13953488372093026</c:v>
                </c:pt>
                <c:pt idx="163">
                  <c:v>0.18139534883720931</c:v>
                </c:pt>
                <c:pt idx="164">
                  <c:v>0.23023255813953503</c:v>
                </c:pt>
                <c:pt idx="165">
                  <c:v>0.23023255813953503</c:v>
                </c:pt>
                <c:pt idx="166">
                  <c:v>0.21162790697674416</c:v>
                </c:pt>
                <c:pt idx="167">
                  <c:v>0.19767441860465129</c:v>
                </c:pt>
                <c:pt idx="168">
                  <c:v>0.17906976744186065</c:v>
                </c:pt>
                <c:pt idx="169">
                  <c:v>0.44186046511627919</c:v>
                </c:pt>
                <c:pt idx="170">
                  <c:v>0.44883720930232585</c:v>
                </c:pt>
                <c:pt idx="171">
                  <c:v>0.50232558139534889</c:v>
                </c:pt>
                <c:pt idx="172">
                  <c:v>0.49534883720930223</c:v>
                </c:pt>
                <c:pt idx="173">
                  <c:v>0.39999999999999991</c:v>
                </c:pt>
                <c:pt idx="174">
                  <c:v>0.39999999999999991</c:v>
                </c:pt>
                <c:pt idx="175">
                  <c:v>0.32325581395348846</c:v>
                </c:pt>
                <c:pt idx="176">
                  <c:v>0.31162790697674425</c:v>
                </c:pt>
                <c:pt idx="177">
                  <c:v>0.22558139534883725</c:v>
                </c:pt>
                <c:pt idx="178">
                  <c:v>0.26279069767441854</c:v>
                </c:pt>
                <c:pt idx="179">
                  <c:v>0.30232558139534871</c:v>
                </c:pt>
                <c:pt idx="180">
                  <c:v>0.30465116279069782</c:v>
                </c:pt>
                <c:pt idx="181">
                  <c:v>0.31395348837209314</c:v>
                </c:pt>
                <c:pt idx="182">
                  <c:v>0.29069767441860472</c:v>
                </c:pt>
                <c:pt idx="183">
                  <c:v>0.32093023255813957</c:v>
                </c:pt>
                <c:pt idx="184">
                  <c:v>0.37209302325581417</c:v>
                </c:pt>
                <c:pt idx="185">
                  <c:v>0.35116279069767442</c:v>
                </c:pt>
                <c:pt idx="186">
                  <c:v>0.3418604651162791</c:v>
                </c:pt>
                <c:pt idx="187">
                  <c:v>0.36976744186046506</c:v>
                </c:pt>
                <c:pt idx="188">
                  <c:v>0.36976744186046506</c:v>
                </c:pt>
                <c:pt idx="189">
                  <c:v>0.35581395348837219</c:v>
                </c:pt>
                <c:pt idx="190">
                  <c:v>0.38372093023255816</c:v>
                </c:pt>
                <c:pt idx="191">
                  <c:v>0.37209302325581417</c:v>
                </c:pt>
                <c:pt idx="192">
                  <c:v>0.37674418604651172</c:v>
                </c:pt>
                <c:pt idx="193">
                  <c:v>0.35813953488372086</c:v>
                </c:pt>
                <c:pt idx="194">
                  <c:v>0.30697674418604648</c:v>
                </c:pt>
                <c:pt idx="195">
                  <c:v>0.30000000000000004</c:v>
                </c:pt>
                <c:pt idx="196">
                  <c:v>0.19767441860465129</c:v>
                </c:pt>
                <c:pt idx="197">
                  <c:v>0.18837209302325597</c:v>
                </c:pt>
                <c:pt idx="198">
                  <c:v>0.15813953488372112</c:v>
                </c:pt>
                <c:pt idx="199">
                  <c:v>0.23255813953488369</c:v>
                </c:pt>
                <c:pt idx="200">
                  <c:v>0.22558139534883725</c:v>
                </c:pt>
                <c:pt idx="201">
                  <c:v>0.20000000000000018</c:v>
                </c:pt>
                <c:pt idx="202">
                  <c:v>0.17674418604651154</c:v>
                </c:pt>
                <c:pt idx="203">
                  <c:v>0.15581395348837201</c:v>
                </c:pt>
                <c:pt idx="204">
                  <c:v>0.16511627906976734</c:v>
                </c:pt>
                <c:pt idx="205">
                  <c:v>0.16279069767441867</c:v>
                </c:pt>
                <c:pt idx="206">
                  <c:v>0.22093023255813948</c:v>
                </c:pt>
                <c:pt idx="207">
                  <c:v>0.22093023255813948</c:v>
                </c:pt>
                <c:pt idx="208">
                  <c:v>0.19302325581395352</c:v>
                </c:pt>
                <c:pt idx="209">
                  <c:v>0.22790697674418614</c:v>
                </c:pt>
                <c:pt idx="210">
                  <c:v>0.2093023255813955</c:v>
                </c:pt>
                <c:pt idx="211">
                  <c:v>0.22325581395348837</c:v>
                </c:pt>
                <c:pt idx="212">
                  <c:v>0.23255813953488369</c:v>
                </c:pt>
                <c:pt idx="213">
                  <c:v>0.20000000000000018</c:v>
                </c:pt>
                <c:pt idx="214">
                  <c:v>0.21627906976744193</c:v>
                </c:pt>
                <c:pt idx="215">
                  <c:v>0.2813953488372094</c:v>
                </c:pt>
                <c:pt idx="216">
                  <c:v>0.28372093023255807</c:v>
                </c:pt>
                <c:pt idx="217">
                  <c:v>0.32093023255813957</c:v>
                </c:pt>
                <c:pt idx="218">
                  <c:v>0.36511627906976751</c:v>
                </c:pt>
                <c:pt idx="219">
                  <c:v>0.40465116279069768</c:v>
                </c:pt>
                <c:pt idx="220">
                  <c:v>0.43023255813953498</c:v>
                </c:pt>
                <c:pt idx="221">
                  <c:v>0.44418604651162785</c:v>
                </c:pt>
                <c:pt idx="222">
                  <c:v>0.40697674418604657</c:v>
                </c:pt>
                <c:pt idx="223">
                  <c:v>0.37209302325581417</c:v>
                </c:pt>
                <c:pt idx="224">
                  <c:v>0.39534883720930236</c:v>
                </c:pt>
                <c:pt idx="225">
                  <c:v>0.40465116279069768</c:v>
                </c:pt>
                <c:pt idx="226">
                  <c:v>0.40232558139534902</c:v>
                </c:pt>
                <c:pt idx="227">
                  <c:v>0.36046511627906974</c:v>
                </c:pt>
                <c:pt idx="228">
                  <c:v>0.3674418604651164</c:v>
                </c:pt>
                <c:pt idx="229">
                  <c:v>0.36279069767441863</c:v>
                </c:pt>
                <c:pt idx="230">
                  <c:v>0.35348837209302331</c:v>
                </c:pt>
                <c:pt idx="231">
                  <c:v>0.34883720930232553</c:v>
                </c:pt>
                <c:pt idx="232">
                  <c:v>0.37209302325581417</c:v>
                </c:pt>
                <c:pt idx="233">
                  <c:v>0.39534883720930236</c:v>
                </c:pt>
                <c:pt idx="234">
                  <c:v>0.41860465116279078</c:v>
                </c:pt>
                <c:pt idx="235">
                  <c:v>0.44651162790697674</c:v>
                </c:pt>
                <c:pt idx="236">
                  <c:v>0.4279069767441861</c:v>
                </c:pt>
                <c:pt idx="237">
                  <c:v>0.40232558139534902</c:v>
                </c:pt>
                <c:pt idx="238">
                  <c:v>0.41162790697674434</c:v>
                </c:pt>
                <c:pt idx="239">
                  <c:v>0.36279069767441863</c:v>
                </c:pt>
                <c:pt idx="240">
                  <c:v>0.40930232558139523</c:v>
                </c:pt>
                <c:pt idx="241">
                  <c:v>0.42558139534883721</c:v>
                </c:pt>
                <c:pt idx="242">
                  <c:v>0.40930232558139523</c:v>
                </c:pt>
                <c:pt idx="243">
                  <c:v>0.39767441860465125</c:v>
                </c:pt>
                <c:pt idx="244">
                  <c:v>0.3930232558139537</c:v>
                </c:pt>
                <c:pt idx="245">
                  <c:v>0.41860465116279078</c:v>
                </c:pt>
                <c:pt idx="246">
                  <c:v>0.40930232558139523</c:v>
                </c:pt>
                <c:pt idx="247">
                  <c:v>0.43255813953488387</c:v>
                </c:pt>
                <c:pt idx="248">
                  <c:v>0.39767441860465125</c:v>
                </c:pt>
                <c:pt idx="249">
                  <c:v>0.43255813953488387</c:v>
                </c:pt>
                <c:pt idx="250">
                  <c:v>0.46046511627906983</c:v>
                </c:pt>
                <c:pt idx="251">
                  <c:v>0.4395348837209303</c:v>
                </c:pt>
                <c:pt idx="252">
                  <c:v>0.48604651162790691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E8-0A46-B56F-D41ADB865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2109647"/>
        <c:axId val="1581741215"/>
      </c:lineChart>
      <c:catAx>
        <c:axId val="25997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50559"/>
        <c:crosses val="autoZero"/>
        <c:auto val="1"/>
        <c:lblAlgn val="ctr"/>
        <c:lblOffset val="100"/>
        <c:noMultiLvlLbl val="0"/>
      </c:catAx>
      <c:valAx>
        <c:axId val="259950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Close price ($)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78399"/>
        <c:crosses val="autoZero"/>
        <c:crossBetween val="between"/>
      </c:valAx>
      <c:valAx>
        <c:axId val="158174121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  <a:p>
                <a:pPr>
                  <a:defRPr/>
                </a:pPr>
                <a:r>
                  <a:rPr lang="en-GB"/>
                  <a:t>Cumulative yield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09647"/>
        <c:crosses val="max"/>
        <c:crossBetween val="between"/>
      </c:valAx>
      <c:catAx>
        <c:axId val="1582109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17412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2800" b="0" i="0" u="none" strike="noStrike" baseline="0"/>
              <a:t>AEF - $1000 Portfolio Performance (2024/2025)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120827007761003E-2"/>
          <c:y val="0.11940258905825937"/>
          <c:w val="0.89454224750393285"/>
          <c:h val="0.73845786464815999"/>
        </c:manualLayout>
      </c:layout>
      <c:lineChart>
        <c:grouping val="standard"/>
        <c:varyColors val="0"/>
        <c:ser>
          <c:idx val="0"/>
          <c:order val="0"/>
          <c:tx>
            <c:strRef>
              <c:f>'AEF-keep'!$N$1</c:f>
              <c:strCache>
                <c:ptCount val="1"/>
                <c:pt idx="0">
                  <c:v> Portfolio Value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7527389386098548E-2"/>
                  <c:y val="-5.7800841623477015E-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98F8174-A72F-0543-91CE-F45B7C23C6E0}" type="CELLRANGE">
                      <a:rPr lang="en-US" sz="1400" b="1">
                        <a:solidFill>
                          <a:srgbClr val="C00000"/>
                        </a:solidFill>
                      </a:rPr>
                      <a:pPr>
                        <a:defRPr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8728458047508701E-2"/>
                      <c:h val="4.171976017908297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E2E-4B44-9A87-7164FFD37603}"/>
                </c:ext>
              </c:extLst>
            </c:dLbl>
            <c:dLbl>
              <c:idx val="1"/>
              <c:layout>
                <c:manualLayout>
                  <c:x val="0.76368896494956695"/>
                  <c:y val="-0.484560279859028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6CF95CF-45F6-8140-A6BA-C0B9E78BD84D}" type="CELLRANGE">
                      <a:rPr lang="en-US" sz="1400" b="1">
                        <a:solidFill>
                          <a:schemeClr val="accent6">
                            <a:lumMod val="75000"/>
                          </a:schemeClr>
                        </a:solidFill>
                      </a:rPr>
                      <a:pPr>
                        <a:defRPr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4632248607468855E-2"/>
                      <c:h val="5.563626117311876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E2E-4B44-9A87-7164FFD37603}"/>
                </c:ext>
              </c:extLst>
            </c:dLbl>
            <c:dLbl>
              <c:idx val="2"/>
              <c:layout>
                <c:manualLayout>
                  <c:x val="0.4872906093878755"/>
                  <c:y val="-0.4868941281127377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 i="0" u="none" strike="noStrike" baseline="0">
                        <a:solidFill>
                          <a:schemeClr val="accent6">
                            <a:lumMod val="75000"/>
                          </a:schemeClr>
                        </a:solidFill>
                        <a:effectLst/>
                      </a:rPr>
                      <a:t> $         1,502.33 </a:t>
                    </a:r>
                    <a:endParaRPr lang="en-US" sz="1050" b="1">
                      <a:solidFill>
                        <a:schemeClr val="accent6">
                          <a:lumMod val="75000"/>
                        </a:schemeClr>
                      </a:solidFill>
                    </a:endParaRPr>
                  </a:p>
                </c:rich>
              </c:tx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516791538323539E-2"/>
                      <c:h val="4.8396634593799975E-2"/>
                    </c:manualLayout>
                  </c15:layout>
                  <c15:showDataLabelsRange val="1"/>
                </c:ext>
                <c:ext xmlns:c16="http://schemas.microsoft.com/office/drawing/2014/chart" uri="{C3380CC4-5D6E-409C-BE32-E72D297353CC}">
                  <c16:uniqueId val="{00000003-CE2E-4B44-9A87-7164FFD37603}"/>
                </c:ext>
              </c:extLst>
            </c:dLbl>
            <c:dLbl>
              <c:idx val="3"/>
              <c:layout>
                <c:manualLayout>
                  <c:x val="4.9664990224130415E-2"/>
                  <c:y val="0.1492419305804799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6">
                            <a:lumMod val="60000"/>
                            <a:lumOff val="40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 b="1" i="0" u="none" strike="noStrike" baseline="0">
                        <a:solidFill>
                          <a:srgbClr val="FF0000"/>
                        </a:solidFill>
                        <a:effectLst/>
                      </a:rPr>
                      <a:t> $            876.74 </a:t>
                    </a:r>
                    <a:endParaRPr lang="en-US" sz="1050" b="1">
                      <a:solidFill>
                        <a:srgbClr val="FF0000"/>
                      </a:solidFill>
                    </a:endParaRPr>
                  </a:p>
                </c:rich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4-CE2E-4B44-9A87-7164FFD3760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E2E-4B44-9A87-7164FFD3760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E2E-4B44-9A87-7164FFD3760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E2E-4B44-9A87-7164FFD3760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E2E-4B44-9A87-7164FFD3760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E2E-4B44-9A87-7164FFD3760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E2E-4B44-9A87-7164FFD3760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E2E-4B44-9A87-7164FFD3760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E2E-4B44-9A87-7164FFD3760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E2E-4B44-9A87-7164FFD3760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E2E-4B44-9A87-7164FFD3760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E2E-4B44-9A87-7164FFD3760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E2E-4B44-9A87-7164FFD3760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E2E-4B44-9A87-7164FFD3760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E2E-4B44-9A87-7164FFD3760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E2E-4B44-9A87-7164FFD3760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E2E-4B44-9A87-7164FFD3760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E2E-4B44-9A87-7164FFD3760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CE2E-4B44-9A87-7164FFD3760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CE2E-4B44-9A87-7164FFD3760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E2E-4B44-9A87-7164FFD3760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E2E-4B44-9A87-7164FFD3760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E2E-4B44-9A87-7164FFD3760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E2E-4B44-9A87-7164FFD3760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E2E-4B44-9A87-7164FFD3760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E2E-4B44-9A87-7164FFD3760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E2E-4B44-9A87-7164FFD3760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E2E-4B44-9A87-7164FFD37603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E2E-4B44-9A87-7164FFD37603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E2E-4B44-9A87-7164FFD3760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E2E-4B44-9A87-7164FFD37603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E2E-4B44-9A87-7164FFD3760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E2E-4B44-9A87-7164FFD37603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E2E-4B44-9A87-7164FFD3760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E2E-4B44-9A87-7164FFD37603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E2E-4B44-9A87-7164FFD37603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E2E-4B44-9A87-7164FFD37603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E2E-4B44-9A87-7164FFD3760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E2E-4B44-9A87-7164FFD37603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E2E-4B44-9A87-7164FFD37603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E2E-4B44-9A87-7164FFD37603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E2E-4B44-9A87-7164FFD3760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E2E-4B44-9A87-7164FFD37603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E2E-4B44-9A87-7164FFD37603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CE2E-4B44-9A87-7164FFD37603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CE2E-4B44-9A87-7164FFD3760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CE2E-4B44-9A87-7164FFD37603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CE2E-4B44-9A87-7164FFD37603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CE2E-4B44-9A87-7164FFD37603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CE2E-4B44-9A87-7164FFD37603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CE2E-4B44-9A87-7164FFD37603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CE2E-4B44-9A87-7164FFD37603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CE2E-4B44-9A87-7164FFD37603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CE2E-4B44-9A87-7164FFD3760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CE2E-4B44-9A87-7164FFD37603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CE2E-4B44-9A87-7164FFD37603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CE2E-4B44-9A87-7164FFD37603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CE2E-4B44-9A87-7164FFD37603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CE2E-4B44-9A87-7164FFD37603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CE2E-4B44-9A87-7164FFD37603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CE2E-4B44-9A87-7164FFD37603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CE2E-4B44-9A87-7164FFD37603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CE2E-4B44-9A87-7164FFD37603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CE2E-4B44-9A87-7164FFD37603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CE2E-4B44-9A87-7164FFD37603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CE2E-4B44-9A87-7164FFD37603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CE2E-4B44-9A87-7164FFD37603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CE2E-4B44-9A87-7164FFD3760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CE2E-4B44-9A87-7164FFD37603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CE2E-4B44-9A87-7164FFD37603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CE2E-4B44-9A87-7164FFD37603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CE2E-4B44-9A87-7164FFD37603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CE2E-4B44-9A87-7164FFD37603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CE2E-4B44-9A87-7164FFD37603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CE2E-4B44-9A87-7164FFD37603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CE2E-4B44-9A87-7164FFD37603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CE2E-4B44-9A87-7164FFD37603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CE2E-4B44-9A87-7164FFD37603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CE2E-4B44-9A87-7164FFD37603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CE2E-4B44-9A87-7164FFD37603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CE2E-4B44-9A87-7164FFD37603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CE2E-4B44-9A87-7164FFD37603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CE2E-4B44-9A87-7164FFD37603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CE2E-4B44-9A87-7164FFD37603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CE2E-4B44-9A87-7164FFD37603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CE2E-4B44-9A87-7164FFD37603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CE2E-4B44-9A87-7164FFD37603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CE2E-4B44-9A87-7164FFD37603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CE2E-4B44-9A87-7164FFD37603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CE2E-4B44-9A87-7164FFD37603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CE2E-4B44-9A87-7164FFD37603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CE2E-4B44-9A87-7164FFD37603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CE2E-4B44-9A87-7164FFD37603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CE2E-4B44-9A87-7164FFD37603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CE2E-4B44-9A87-7164FFD37603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CE2E-4B44-9A87-7164FFD37603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CE2E-4B44-9A87-7164FFD37603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CE2E-4B44-9A87-7164FFD37603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CE2E-4B44-9A87-7164FFD37603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CE2E-4B44-9A87-7164FFD37603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CE2E-4B44-9A87-7164FFD37603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CE2E-4B44-9A87-7164FFD37603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CE2E-4B44-9A87-7164FFD37603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CE2E-4B44-9A87-7164FFD37603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CE2E-4B44-9A87-7164FFD37603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CE2E-4B44-9A87-7164FFD37603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CE2E-4B44-9A87-7164FFD37603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CE2E-4B44-9A87-7164FFD37603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CE2E-4B44-9A87-7164FFD37603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CE2E-4B44-9A87-7164FFD37603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CE2E-4B44-9A87-7164FFD37603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CE2E-4B44-9A87-7164FFD37603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CE2E-4B44-9A87-7164FFD37603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CE2E-4B44-9A87-7164FFD37603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CE2E-4B44-9A87-7164FFD37603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CE2E-4B44-9A87-7164FFD37603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CE2E-4B44-9A87-7164FFD37603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CE2E-4B44-9A87-7164FFD37603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CE2E-4B44-9A87-7164FFD37603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CE2E-4B44-9A87-7164FFD37603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CE2E-4B44-9A87-7164FFD37603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CE2E-4B44-9A87-7164FFD37603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CE2E-4B44-9A87-7164FFD37603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CE2E-4B44-9A87-7164FFD37603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CE2E-4B44-9A87-7164FFD37603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CE2E-4B44-9A87-7164FFD37603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CE2E-4B44-9A87-7164FFD37603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CE2E-4B44-9A87-7164FFD37603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CE2E-4B44-9A87-7164FFD37603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CE2E-4B44-9A87-7164FFD37603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CE2E-4B44-9A87-7164FFD37603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CE2E-4B44-9A87-7164FFD37603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CE2E-4B44-9A87-7164FFD37603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CE2E-4B44-9A87-7164FFD37603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CE2E-4B44-9A87-7164FFD37603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CE2E-4B44-9A87-7164FFD37603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CE2E-4B44-9A87-7164FFD37603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CE2E-4B44-9A87-7164FFD37603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CE2E-4B44-9A87-7164FFD37603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CE2E-4B44-9A87-7164FFD37603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CE2E-4B44-9A87-7164FFD37603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CE2E-4B44-9A87-7164FFD37603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CE2E-4B44-9A87-7164FFD37603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CE2E-4B44-9A87-7164FFD37603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CE2E-4B44-9A87-7164FFD37603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CE2E-4B44-9A87-7164FFD37603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CE2E-4B44-9A87-7164FFD37603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CE2E-4B44-9A87-7164FFD37603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CE2E-4B44-9A87-7164FFD37603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CE2E-4B44-9A87-7164FFD37603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CE2E-4B44-9A87-7164FFD37603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CE2E-4B44-9A87-7164FFD37603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CE2E-4B44-9A87-7164FFD37603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CE2E-4B44-9A87-7164FFD37603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CE2E-4B44-9A87-7164FFD37603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CE2E-4B44-9A87-7164FFD37603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CE2E-4B44-9A87-7164FFD37603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CE2E-4B44-9A87-7164FFD37603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CE2E-4B44-9A87-7164FFD37603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CE2E-4B44-9A87-7164FFD37603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CE2E-4B44-9A87-7164FFD37603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CE2E-4B44-9A87-7164FFD37603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CE2E-4B44-9A87-7164FFD37603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CE2E-4B44-9A87-7164FFD37603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CE2E-4B44-9A87-7164FFD37603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CE2E-4B44-9A87-7164FFD37603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CE2E-4B44-9A87-7164FFD37603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CE2E-4B44-9A87-7164FFD37603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CE2E-4B44-9A87-7164FFD37603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CE2E-4B44-9A87-7164FFD37603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CE2E-4B44-9A87-7164FFD37603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CE2E-4B44-9A87-7164FFD37603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CE2E-4B44-9A87-7164FFD37603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CE2E-4B44-9A87-7164FFD37603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CE2E-4B44-9A87-7164FFD37603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CE2E-4B44-9A87-7164FFD37603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CE2E-4B44-9A87-7164FFD37603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CE2E-4B44-9A87-7164FFD37603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CE2E-4B44-9A87-7164FFD37603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CE2E-4B44-9A87-7164FFD37603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CE2E-4B44-9A87-7164FFD37603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CE2E-4B44-9A87-7164FFD37603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CE2E-4B44-9A87-7164FFD37603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CE2E-4B44-9A87-7164FFD37603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CE2E-4B44-9A87-7164FFD37603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CE2E-4B44-9A87-7164FFD37603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CE2E-4B44-9A87-7164FFD37603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CE2E-4B44-9A87-7164FFD37603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CE2E-4B44-9A87-7164FFD37603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CE2E-4B44-9A87-7164FFD37603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CE2E-4B44-9A87-7164FFD37603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CE2E-4B44-9A87-7164FFD37603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CE2E-4B44-9A87-7164FFD37603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CE2E-4B44-9A87-7164FFD37603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CE2E-4B44-9A87-7164FFD37603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CE2E-4B44-9A87-7164FFD37603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CE2E-4B44-9A87-7164FFD37603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CE2E-4B44-9A87-7164FFD37603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CE2E-4B44-9A87-7164FFD37603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CE2E-4B44-9A87-7164FFD37603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CE2E-4B44-9A87-7164FFD37603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CE2E-4B44-9A87-7164FFD37603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CE2E-4B44-9A87-7164FFD37603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CE2E-4B44-9A87-7164FFD37603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CE2E-4B44-9A87-7164FFD37603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CE2E-4B44-9A87-7164FFD37603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CE2E-4B44-9A87-7164FFD37603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CE2E-4B44-9A87-7164FFD37603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CE2E-4B44-9A87-7164FFD37603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CE2E-4B44-9A87-7164FFD37603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CE2E-4B44-9A87-7164FFD37603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CE2E-4B44-9A87-7164FFD37603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CE2E-4B44-9A87-7164FFD37603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CE2E-4B44-9A87-7164FFD37603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CE2E-4B44-9A87-7164FFD37603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CE2E-4B44-9A87-7164FFD37603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CE2E-4B44-9A87-7164FFD37603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CE2E-4B44-9A87-7164FFD37603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CE2E-4B44-9A87-7164FFD37603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CE2E-4B44-9A87-7164FFD37603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CE2E-4B44-9A87-7164FFD37603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CE2E-4B44-9A87-7164FFD37603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CE2E-4B44-9A87-7164FFD37603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CE2E-4B44-9A87-7164FFD37603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CE2E-4B44-9A87-7164FFD37603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CE2E-4B44-9A87-7164FFD37603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CE2E-4B44-9A87-7164FFD37603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CE2E-4B44-9A87-7164FFD37603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CE2E-4B44-9A87-7164FFD37603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CE2E-4B44-9A87-7164FFD37603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CE2E-4B44-9A87-7164FFD37603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CE2E-4B44-9A87-7164FFD37603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CE2E-4B44-9A87-7164FFD37603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CE2E-4B44-9A87-7164FFD37603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CE2E-4B44-9A87-7164FFD37603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CE2E-4B44-9A87-7164FFD37603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CE2E-4B44-9A87-7164FFD37603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CE2E-4B44-9A87-7164FFD37603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CE2E-4B44-9A87-7164FFD37603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CE2E-4B44-9A87-7164FFD37603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CE2E-4B44-9A87-7164FFD37603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CE2E-4B44-9A87-7164FFD37603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CE2E-4B44-9A87-7164FFD37603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CE2E-4B44-9A87-7164FFD37603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CE2E-4B44-9A87-7164FFD37603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CE2E-4B44-9A87-7164FFD37603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CE2E-4B44-9A87-7164FFD37603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CE2E-4B44-9A87-7164FFD37603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CE2E-4B44-9A87-7164FFD37603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CE2E-4B44-9A87-7164FFD3760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'AEF-keep'!$C$2:$C$254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'AEF-keep'!$N$2:$N$254</c:f>
              <c:numCache>
                <c:formatCode>_("$"* #,##0.00_);_("$"* \(#,##0.00\);_("$"* "-"??_);_(@_)</c:formatCode>
                <c:ptCount val="253"/>
                <c:pt idx="0">
                  <c:v>1000</c:v>
                </c:pt>
                <c:pt idx="1">
                  <c:v>1004.6511627906978</c:v>
                </c:pt>
                <c:pt idx="2">
                  <c:v>972.09302325581393</c:v>
                </c:pt>
                <c:pt idx="3">
                  <c:v>1000</c:v>
                </c:pt>
                <c:pt idx="4">
                  <c:v>981.39534883720933</c:v>
                </c:pt>
                <c:pt idx="5">
                  <c:v>988.37209302325584</c:v>
                </c:pt>
                <c:pt idx="6">
                  <c:v>930.23255813953494</c:v>
                </c:pt>
                <c:pt idx="7">
                  <c:v>962.79069767441854</c:v>
                </c:pt>
                <c:pt idx="8">
                  <c:v>962.79069767441854</c:v>
                </c:pt>
                <c:pt idx="9">
                  <c:v>955.81395348837225</c:v>
                </c:pt>
                <c:pt idx="10">
                  <c:v>944.18604651162786</c:v>
                </c:pt>
                <c:pt idx="11">
                  <c:v>979.06976744186056</c:v>
                </c:pt>
                <c:pt idx="12">
                  <c:v>993.02325581395348</c:v>
                </c:pt>
                <c:pt idx="13">
                  <c:v>981.39534883720933</c:v>
                </c:pt>
                <c:pt idx="14">
                  <c:v>962.79069767441854</c:v>
                </c:pt>
                <c:pt idx="15">
                  <c:v>955.81395348837225</c:v>
                </c:pt>
                <c:pt idx="16">
                  <c:v>941.8604651162791</c:v>
                </c:pt>
                <c:pt idx="17">
                  <c:v>962.79069767441854</c:v>
                </c:pt>
                <c:pt idx="18">
                  <c:v>944.18604651162786</c:v>
                </c:pt>
                <c:pt idx="19">
                  <c:v>937.20930232558146</c:v>
                </c:pt>
                <c:pt idx="20">
                  <c:v>923.25581395348843</c:v>
                </c:pt>
                <c:pt idx="21">
                  <c:v>904.65116279069775</c:v>
                </c:pt>
                <c:pt idx="22">
                  <c:v>925.5813953488373</c:v>
                </c:pt>
                <c:pt idx="23">
                  <c:v>955.81395348837225</c:v>
                </c:pt>
                <c:pt idx="24">
                  <c:v>895.34883720930236</c:v>
                </c:pt>
                <c:pt idx="25">
                  <c:v>883.7209302325582</c:v>
                </c:pt>
                <c:pt idx="26">
                  <c:v>918.60465116279079</c:v>
                </c:pt>
                <c:pt idx="27">
                  <c:v>883.7209302325582</c:v>
                </c:pt>
                <c:pt idx="28">
                  <c:v>883.7209302325582</c:v>
                </c:pt>
                <c:pt idx="29">
                  <c:v>918.60465116279079</c:v>
                </c:pt>
                <c:pt idx="30">
                  <c:v>897.67441860465124</c:v>
                </c:pt>
                <c:pt idx="31">
                  <c:v>886.04651162790708</c:v>
                </c:pt>
                <c:pt idx="32">
                  <c:v>876.74418604651169</c:v>
                </c:pt>
                <c:pt idx="33">
                  <c:v>895.34883720930236</c:v>
                </c:pt>
                <c:pt idx="34">
                  <c:v>923.25581395348843</c:v>
                </c:pt>
                <c:pt idx="35">
                  <c:v>913.95348837209315</c:v>
                </c:pt>
                <c:pt idx="36">
                  <c:v>934.88372093023247</c:v>
                </c:pt>
                <c:pt idx="37">
                  <c:v>934.88372093023247</c:v>
                </c:pt>
                <c:pt idx="38">
                  <c:v>953.48837209302326</c:v>
                </c:pt>
                <c:pt idx="39">
                  <c:v>925.5813953488373</c:v>
                </c:pt>
                <c:pt idx="40">
                  <c:v>920.93023255813955</c:v>
                </c:pt>
                <c:pt idx="41">
                  <c:v>902.32558139534888</c:v>
                </c:pt>
                <c:pt idx="42">
                  <c:v>895.34883720930236</c:v>
                </c:pt>
                <c:pt idx="43">
                  <c:v>951.1627906976745</c:v>
                </c:pt>
                <c:pt idx="44">
                  <c:v>965.11627906976764</c:v>
                </c:pt>
                <c:pt idx="45">
                  <c:v>953.48837209302326</c:v>
                </c:pt>
                <c:pt idx="46">
                  <c:v>930.23255813953494</c:v>
                </c:pt>
                <c:pt idx="47">
                  <c:v>902.32558139534888</c:v>
                </c:pt>
                <c:pt idx="48">
                  <c:v>920.93023255813955</c:v>
                </c:pt>
                <c:pt idx="49">
                  <c:v>897.67441860465124</c:v>
                </c:pt>
                <c:pt idx="50">
                  <c:v>923.25581395348843</c:v>
                </c:pt>
                <c:pt idx="51">
                  <c:v>920.93023255813955</c:v>
                </c:pt>
                <c:pt idx="52">
                  <c:v>967.44186046511641</c:v>
                </c:pt>
                <c:pt idx="53">
                  <c:v>974.41860465116292</c:v>
                </c:pt>
                <c:pt idx="54">
                  <c:v>1020.9302325581396</c:v>
                </c:pt>
                <c:pt idx="55">
                  <c:v>1000</c:v>
                </c:pt>
                <c:pt idx="56">
                  <c:v>976.74418604651169</c:v>
                </c:pt>
                <c:pt idx="57">
                  <c:v>990.69767441860472</c:v>
                </c:pt>
                <c:pt idx="58">
                  <c:v>997.67441860465124</c:v>
                </c:pt>
                <c:pt idx="59">
                  <c:v>988.37209302325584</c:v>
                </c:pt>
                <c:pt idx="60">
                  <c:v>997.67441860465124</c:v>
                </c:pt>
                <c:pt idx="61">
                  <c:v>1018.6046511627908</c:v>
                </c:pt>
                <c:pt idx="62">
                  <c:v>990.69767441860472</c:v>
                </c:pt>
                <c:pt idx="63">
                  <c:v>981.39534883720933</c:v>
                </c:pt>
                <c:pt idx="64">
                  <c:v>1004.6511627906978</c:v>
                </c:pt>
                <c:pt idx="65">
                  <c:v>1016.2790697674419</c:v>
                </c:pt>
                <c:pt idx="66">
                  <c:v>1037.2093023255813</c:v>
                </c:pt>
                <c:pt idx="67">
                  <c:v>1000</c:v>
                </c:pt>
                <c:pt idx="68">
                  <c:v>993.02325581395348</c:v>
                </c:pt>
                <c:pt idx="69">
                  <c:v>1004.6511627906978</c:v>
                </c:pt>
                <c:pt idx="70">
                  <c:v>1023.2558139534885</c:v>
                </c:pt>
                <c:pt idx="71">
                  <c:v>995.34883720930247</c:v>
                </c:pt>
                <c:pt idx="72">
                  <c:v>1006.9767441860466</c:v>
                </c:pt>
                <c:pt idx="73">
                  <c:v>1009.3023255813954</c:v>
                </c:pt>
                <c:pt idx="74">
                  <c:v>995.34883720930247</c:v>
                </c:pt>
                <c:pt idx="75">
                  <c:v>1004.6511627906978</c:v>
                </c:pt>
                <c:pt idx="76">
                  <c:v>981.39534883720933</c:v>
                </c:pt>
                <c:pt idx="77">
                  <c:v>946.51162790697686</c:v>
                </c:pt>
                <c:pt idx="78">
                  <c:v>965.11627906976764</c:v>
                </c:pt>
                <c:pt idx="79">
                  <c:v>972.09302325581393</c:v>
                </c:pt>
                <c:pt idx="80">
                  <c:v>974.41860465116292</c:v>
                </c:pt>
                <c:pt idx="81">
                  <c:v>960.46511627906978</c:v>
                </c:pt>
                <c:pt idx="82">
                  <c:v>951.1627906976745</c:v>
                </c:pt>
                <c:pt idx="83">
                  <c:v>939.53488372093034</c:v>
                </c:pt>
                <c:pt idx="84">
                  <c:v>939.53488372093034</c:v>
                </c:pt>
                <c:pt idx="85">
                  <c:v>965.11627906976764</c:v>
                </c:pt>
                <c:pt idx="86">
                  <c:v>990.69767441860472</c:v>
                </c:pt>
                <c:pt idx="87">
                  <c:v>1034.8837209302326</c:v>
                </c:pt>
                <c:pt idx="88">
                  <c:v>1046.5116279069769</c:v>
                </c:pt>
                <c:pt idx="89">
                  <c:v>1023.2558139534885</c:v>
                </c:pt>
                <c:pt idx="90">
                  <c:v>1009.3023255813954</c:v>
                </c:pt>
                <c:pt idx="91">
                  <c:v>1000</c:v>
                </c:pt>
                <c:pt idx="92">
                  <c:v>1027.9069767441861</c:v>
                </c:pt>
                <c:pt idx="93">
                  <c:v>1051.1627906976744</c:v>
                </c:pt>
                <c:pt idx="94">
                  <c:v>1051.1627906976744</c:v>
                </c:pt>
                <c:pt idx="95">
                  <c:v>1074.4186046511629</c:v>
                </c:pt>
                <c:pt idx="96">
                  <c:v>1053.4883720930234</c:v>
                </c:pt>
                <c:pt idx="97">
                  <c:v>1051.1627906976744</c:v>
                </c:pt>
                <c:pt idx="98">
                  <c:v>1058.1395348837209</c:v>
                </c:pt>
                <c:pt idx="99">
                  <c:v>1104.6511627906978</c:v>
                </c:pt>
                <c:pt idx="100">
                  <c:v>1123.2558139534885</c:v>
                </c:pt>
                <c:pt idx="101">
                  <c:v>1179.0697674418607</c:v>
                </c:pt>
                <c:pt idx="102">
                  <c:v>1186.046511627907</c:v>
                </c:pt>
                <c:pt idx="103">
                  <c:v>1144.1860465116279</c:v>
                </c:pt>
                <c:pt idx="104">
                  <c:v>1127.9069767441861</c:v>
                </c:pt>
                <c:pt idx="105">
                  <c:v>1111.6279069767443</c:v>
                </c:pt>
                <c:pt idx="106">
                  <c:v>1116.2790697674418</c:v>
                </c:pt>
                <c:pt idx="107">
                  <c:v>1158.1395348837211</c:v>
                </c:pt>
                <c:pt idx="108">
                  <c:v>1165.1162790697674</c:v>
                </c:pt>
                <c:pt idx="109">
                  <c:v>1174.4186046511629</c:v>
                </c:pt>
                <c:pt idx="110">
                  <c:v>1162.7906976744187</c:v>
                </c:pt>
                <c:pt idx="111">
                  <c:v>1232.5581395348838</c:v>
                </c:pt>
                <c:pt idx="112">
                  <c:v>1267.4418604651164</c:v>
                </c:pt>
                <c:pt idx="113">
                  <c:v>1295.3488372093025</c:v>
                </c:pt>
                <c:pt idx="114">
                  <c:v>1302.3255813953488</c:v>
                </c:pt>
                <c:pt idx="115">
                  <c:v>1320.9302325581396</c:v>
                </c:pt>
                <c:pt idx="116">
                  <c:v>1290.6976744186047</c:v>
                </c:pt>
                <c:pt idx="117">
                  <c:v>1297.6744186046512</c:v>
                </c:pt>
                <c:pt idx="118">
                  <c:v>1323.2558139534885</c:v>
                </c:pt>
                <c:pt idx="119">
                  <c:v>1297.6744186046512</c:v>
                </c:pt>
                <c:pt idx="120">
                  <c:v>1265.1162790697676</c:v>
                </c:pt>
                <c:pt idx="121">
                  <c:v>1258.1395348837211</c:v>
                </c:pt>
                <c:pt idx="122">
                  <c:v>1248.8372093023256</c:v>
                </c:pt>
                <c:pt idx="123">
                  <c:v>1211.6279069767443</c:v>
                </c:pt>
                <c:pt idx="124">
                  <c:v>1248.8372093023256</c:v>
                </c:pt>
                <c:pt idx="125">
                  <c:v>1230.2325581395351</c:v>
                </c:pt>
                <c:pt idx="126">
                  <c:v>1241.8604651162791</c:v>
                </c:pt>
                <c:pt idx="127">
                  <c:v>1225.5813953488371</c:v>
                </c:pt>
                <c:pt idx="128">
                  <c:v>1248.8372093023256</c:v>
                </c:pt>
                <c:pt idx="129">
                  <c:v>1251.1627906976744</c:v>
                </c:pt>
                <c:pt idx="130">
                  <c:v>1209.3023255813955</c:v>
                </c:pt>
                <c:pt idx="131">
                  <c:v>1213.953488372093</c:v>
                </c:pt>
                <c:pt idx="132">
                  <c:v>1197.6744186046512</c:v>
                </c:pt>
                <c:pt idx="133">
                  <c:v>1225.5813953488371</c:v>
                </c:pt>
                <c:pt idx="134">
                  <c:v>1232.5581395348838</c:v>
                </c:pt>
                <c:pt idx="135">
                  <c:v>1234.8837209302326</c:v>
                </c:pt>
                <c:pt idx="136">
                  <c:v>1246.5116279069769</c:v>
                </c:pt>
                <c:pt idx="137">
                  <c:v>1230.2325581395351</c:v>
                </c:pt>
                <c:pt idx="138">
                  <c:v>1220.9302325581396</c:v>
                </c:pt>
                <c:pt idx="139">
                  <c:v>1190.6976744186047</c:v>
                </c:pt>
                <c:pt idx="140">
                  <c:v>1213.953488372093</c:v>
                </c:pt>
                <c:pt idx="141">
                  <c:v>1232.5581395348838</c:v>
                </c:pt>
                <c:pt idx="142">
                  <c:v>1186.046511627907</c:v>
                </c:pt>
                <c:pt idx="143">
                  <c:v>1186.046511627907</c:v>
                </c:pt>
                <c:pt idx="144">
                  <c:v>1183.7209302325582</c:v>
                </c:pt>
                <c:pt idx="145">
                  <c:v>1151.1627906976746</c:v>
                </c:pt>
                <c:pt idx="146">
                  <c:v>1174.4186046511629</c:v>
                </c:pt>
                <c:pt idx="147">
                  <c:v>1153.4883720930234</c:v>
                </c:pt>
                <c:pt idx="148">
                  <c:v>1144.1860465116279</c:v>
                </c:pt>
                <c:pt idx="149">
                  <c:v>1148.8372093023258</c:v>
                </c:pt>
                <c:pt idx="150">
                  <c:v>1160.4651162790699</c:v>
                </c:pt>
                <c:pt idx="151">
                  <c:v>1127.9069767441861</c:v>
                </c:pt>
                <c:pt idx="152">
                  <c:v>1123.2558139534885</c:v>
                </c:pt>
                <c:pt idx="153">
                  <c:v>1106.9767441860465</c:v>
                </c:pt>
                <c:pt idx="154">
                  <c:v>1100.0000000000002</c:v>
                </c:pt>
                <c:pt idx="155">
                  <c:v>1155.8139534883721</c:v>
                </c:pt>
                <c:pt idx="156">
                  <c:v>1158.1395348837211</c:v>
                </c:pt>
                <c:pt idx="157">
                  <c:v>1160.4651162790699</c:v>
                </c:pt>
                <c:pt idx="158">
                  <c:v>1132.5581395348838</c:v>
                </c:pt>
                <c:pt idx="159">
                  <c:v>1139.5348837209303</c:v>
                </c:pt>
                <c:pt idx="160">
                  <c:v>1153.4883720930234</c:v>
                </c:pt>
                <c:pt idx="161">
                  <c:v>1174.4186046511629</c:v>
                </c:pt>
                <c:pt idx="162">
                  <c:v>1139.5348837209303</c:v>
                </c:pt>
                <c:pt idx="163">
                  <c:v>1181.3953488372094</c:v>
                </c:pt>
                <c:pt idx="164">
                  <c:v>1230.2325581395351</c:v>
                </c:pt>
                <c:pt idx="165">
                  <c:v>1230.2325581395351</c:v>
                </c:pt>
                <c:pt idx="166">
                  <c:v>1211.6279069767443</c:v>
                </c:pt>
                <c:pt idx="167">
                  <c:v>1197.6744186046512</c:v>
                </c:pt>
                <c:pt idx="168">
                  <c:v>1179.0697674418607</c:v>
                </c:pt>
                <c:pt idx="169">
                  <c:v>1441.8604651162791</c:v>
                </c:pt>
                <c:pt idx="170">
                  <c:v>1448.8372093023258</c:v>
                </c:pt>
                <c:pt idx="171">
                  <c:v>1502.325581395349</c:v>
                </c:pt>
                <c:pt idx="172">
                  <c:v>1495.3488372093022</c:v>
                </c:pt>
                <c:pt idx="173">
                  <c:v>1400</c:v>
                </c:pt>
                <c:pt idx="174">
                  <c:v>1400</c:v>
                </c:pt>
                <c:pt idx="175">
                  <c:v>1323.2558139534885</c:v>
                </c:pt>
                <c:pt idx="176">
                  <c:v>1311.6279069767443</c:v>
                </c:pt>
                <c:pt idx="177">
                  <c:v>1225.5813953488371</c:v>
                </c:pt>
                <c:pt idx="178">
                  <c:v>1262.7906976744187</c:v>
                </c:pt>
                <c:pt idx="179">
                  <c:v>1302.3255813953488</c:v>
                </c:pt>
                <c:pt idx="180">
                  <c:v>1304.6511627906978</c:v>
                </c:pt>
                <c:pt idx="181">
                  <c:v>1313.9534883720933</c:v>
                </c:pt>
                <c:pt idx="182">
                  <c:v>1290.6976744186047</c:v>
                </c:pt>
                <c:pt idx="183">
                  <c:v>1320.9302325581396</c:v>
                </c:pt>
                <c:pt idx="184">
                  <c:v>1372.0930232558142</c:v>
                </c:pt>
                <c:pt idx="185">
                  <c:v>1351.1627906976744</c:v>
                </c:pt>
                <c:pt idx="186">
                  <c:v>1341.8604651162791</c:v>
                </c:pt>
                <c:pt idx="187">
                  <c:v>1369.7674418604652</c:v>
                </c:pt>
                <c:pt idx="188">
                  <c:v>1369.7674418604652</c:v>
                </c:pt>
                <c:pt idx="189">
                  <c:v>1355.8139534883721</c:v>
                </c:pt>
                <c:pt idx="190">
                  <c:v>1383.7209302325582</c:v>
                </c:pt>
                <c:pt idx="191">
                  <c:v>1372.0930232558142</c:v>
                </c:pt>
                <c:pt idx="192">
                  <c:v>1376.7441860465117</c:v>
                </c:pt>
                <c:pt idx="193">
                  <c:v>1358.1395348837209</c:v>
                </c:pt>
                <c:pt idx="194">
                  <c:v>1306.9767441860465</c:v>
                </c:pt>
                <c:pt idx="195">
                  <c:v>1300</c:v>
                </c:pt>
                <c:pt idx="196">
                  <c:v>1197.6744186046512</c:v>
                </c:pt>
                <c:pt idx="197">
                  <c:v>1188.372093023256</c:v>
                </c:pt>
                <c:pt idx="198">
                  <c:v>1158.1395348837211</c:v>
                </c:pt>
                <c:pt idx="199">
                  <c:v>1232.5581395348838</c:v>
                </c:pt>
                <c:pt idx="200">
                  <c:v>1225.5813953488371</c:v>
                </c:pt>
                <c:pt idx="201">
                  <c:v>1200</c:v>
                </c:pt>
                <c:pt idx="202">
                  <c:v>1176.7441860465117</c:v>
                </c:pt>
                <c:pt idx="203">
                  <c:v>1155.8139534883721</c:v>
                </c:pt>
                <c:pt idx="204">
                  <c:v>1165.1162790697674</c:v>
                </c:pt>
                <c:pt idx="205">
                  <c:v>1162.7906976744187</c:v>
                </c:pt>
                <c:pt idx="206">
                  <c:v>1220.9302325581396</c:v>
                </c:pt>
                <c:pt idx="207">
                  <c:v>1220.9302325581396</c:v>
                </c:pt>
                <c:pt idx="208">
                  <c:v>1193.0232558139535</c:v>
                </c:pt>
                <c:pt idx="209">
                  <c:v>1227.9069767441863</c:v>
                </c:pt>
                <c:pt idx="210">
                  <c:v>1209.3023255813955</c:v>
                </c:pt>
                <c:pt idx="211">
                  <c:v>1223.2558139534883</c:v>
                </c:pt>
                <c:pt idx="212">
                  <c:v>1232.5581395348838</c:v>
                </c:pt>
                <c:pt idx="213">
                  <c:v>1200</c:v>
                </c:pt>
                <c:pt idx="214">
                  <c:v>1216.279069767442</c:v>
                </c:pt>
                <c:pt idx="215">
                  <c:v>1281.3953488372094</c:v>
                </c:pt>
                <c:pt idx="216">
                  <c:v>1283.7209302325582</c:v>
                </c:pt>
                <c:pt idx="217">
                  <c:v>1320.9302325581396</c:v>
                </c:pt>
                <c:pt idx="218">
                  <c:v>1365.1162790697676</c:v>
                </c:pt>
                <c:pt idx="219">
                  <c:v>1404.6511627906978</c:v>
                </c:pt>
                <c:pt idx="220">
                  <c:v>1430.2325581395351</c:v>
                </c:pt>
                <c:pt idx="221">
                  <c:v>1444.1860465116281</c:v>
                </c:pt>
                <c:pt idx="222">
                  <c:v>1406.9767441860465</c:v>
                </c:pt>
                <c:pt idx="223">
                  <c:v>1372.0930232558142</c:v>
                </c:pt>
                <c:pt idx="224">
                  <c:v>1395.3488372093025</c:v>
                </c:pt>
                <c:pt idx="225">
                  <c:v>1404.6511627906978</c:v>
                </c:pt>
                <c:pt idx="226">
                  <c:v>1402.325581395349</c:v>
                </c:pt>
                <c:pt idx="227">
                  <c:v>1360.4651162790697</c:v>
                </c:pt>
                <c:pt idx="228">
                  <c:v>1367.4418604651164</c:v>
                </c:pt>
                <c:pt idx="229">
                  <c:v>1362.7906976744189</c:v>
                </c:pt>
                <c:pt idx="230">
                  <c:v>1353.4883720930234</c:v>
                </c:pt>
                <c:pt idx="231">
                  <c:v>1348.8372093023256</c:v>
                </c:pt>
                <c:pt idx="232">
                  <c:v>1372.0930232558142</c:v>
                </c:pt>
                <c:pt idx="233">
                  <c:v>1395.3488372093025</c:v>
                </c:pt>
                <c:pt idx="234">
                  <c:v>1418.6046511627908</c:v>
                </c:pt>
                <c:pt idx="235">
                  <c:v>1446.5116279069769</c:v>
                </c:pt>
                <c:pt idx="236">
                  <c:v>1427.9069767441861</c:v>
                </c:pt>
                <c:pt idx="237">
                  <c:v>1402.325581395349</c:v>
                </c:pt>
                <c:pt idx="238">
                  <c:v>1411.6279069767443</c:v>
                </c:pt>
                <c:pt idx="239">
                  <c:v>1362.7906976744189</c:v>
                </c:pt>
                <c:pt idx="240">
                  <c:v>1409.3023255813953</c:v>
                </c:pt>
                <c:pt idx="241">
                  <c:v>1425.5813953488373</c:v>
                </c:pt>
                <c:pt idx="242">
                  <c:v>1409.3023255813953</c:v>
                </c:pt>
                <c:pt idx="243">
                  <c:v>1397.6744186046512</c:v>
                </c:pt>
                <c:pt idx="244">
                  <c:v>1393.0232558139537</c:v>
                </c:pt>
                <c:pt idx="245">
                  <c:v>1418.6046511627908</c:v>
                </c:pt>
                <c:pt idx="246">
                  <c:v>1409.3023255813953</c:v>
                </c:pt>
                <c:pt idx="247">
                  <c:v>1432.5581395348838</c:v>
                </c:pt>
                <c:pt idx="248">
                  <c:v>1397.6744186046512</c:v>
                </c:pt>
                <c:pt idx="249">
                  <c:v>1432.5581395348838</c:v>
                </c:pt>
                <c:pt idx="250">
                  <c:v>1460.4651162790699</c:v>
                </c:pt>
                <c:pt idx="251">
                  <c:v>1439.5348837209303</c:v>
                </c:pt>
                <c:pt idx="252">
                  <c:v>1486.046511627907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('AEF-keep'!$N$2,'AEF-keep'!$N$254,'AEF-keep'!$O$173,'AEF-keep'!$O$34)</c15:f>
                <c15:dlblRangeCache>
                  <c:ptCount val="4"/>
                  <c:pt idx="0">
                    <c:v> $1,000.00 </c:v>
                  </c:pt>
                  <c:pt idx="1">
                    <c:v> $1,486.05 </c:v>
                  </c:pt>
                  <c:pt idx="2">
                    <c:v>50.23%</c:v>
                  </c:pt>
                  <c:pt idx="3">
                    <c:v>-12.33%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E2E-4B44-9A87-7164FFD376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77763808"/>
        <c:axId val="577718464"/>
      </c:lineChart>
      <c:catAx>
        <c:axId val="577763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718464"/>
        <c:crosses val="autoZero"/>
        <c:auto val="1"/>
        <c:lblAlgn val="ctr"/>
        <c:lblOffset val="100"/>
        <c:noMultiLvlLbl val="0"/>
      </c:catAx>
      <c:valAx>
        <c:axId val="577718464"/>
        <c:scaling>
          <c:orientation val="minMax"/>
          <c:min val="7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Portfolio value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2000" b="1" i="0" u="none" strike="noStrike" baseline="0"/>
              <a:t>AEF - Maximum Profit Single Trade Analysis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'AEF-keep'!$G$1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'AEF-keep'!$C$2:$C$256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'AEF-keep'!$G$2:$G$256</c:f>
              <c:numCache>
                <c:formatCode>"$"#,##0.00</c:formatCode>
                <c:ptCount val="255"/>
                <c:pt idx="0">
                  <c:v>4.3</c:v>
                </c:pt>
                <c:pt idx="1">
                  <c:v>4.32</c:v>
                </c:pt>
                <c:pt idx="2">
                  <c:v>4.18</c:v>
                </c:pt>
                <c:pt idx="3">
                  <c:v>4.3</c:v>
                </c:pt>
                <c:pt idx="4">
                  <c:v>4.22</c:v>
                </c:pt>
                <c:pt idx="5">
                  <c:v>4.25</c:v>
                </c:pt>
                <c:pt idx="6">
                  <c:v>4</c:v>
                </c:pt>
                <c:pt idx="7">
                  <c:v>4.1399999999999997</c:v>
                </c:pt>
                <c:pt idx="8">
                  <c:v>4.1399999999999997</c:v>
                </c:pt>
                <c:pt idx="9">
                  <c:v>4.1100000000000003</c:v>
                </c:pt>
                <c:pt idx="10">
                  <c:v>4.0599999999999996</c:v>
                </c:pt>
                <c:pt idx="11">
                  <c:v>4.21</c:v>
                </c:pt>
                <c:pt idx="12">
                  <c:v>4.2699999999999996</c:v>
                </c:pt>
                <c:pt idx="13">
                  <c:v>4.22</c:v>
                </c:pt>
                <c:pt idx="14">
                  <c:v>4.1399999999999997</c:v>
                </c:pt>
                <c:pt idx="15">
                  <c:v>4.1100000000000003</c:v>
                </c:pt>
                <c:pt idx="16">
                  <c:v>4.05</c:v>
                </c:pt>
                <c:pt idx="17">
                  <c:v>4.1399999999999997</c:v>
                </c:pt>
                <c:pt idx="18">
                  <c:v>4.0599999999999996</c:v>
                </c:pt>
                <c:pt idx="19">
                  <c:v>4.03</c:v>
                </c:pt>
                <c:pt idx="20">
                  <c:v>3.97</c:v>
                </c:pt>
                <c:pt idx="21">
                  <c:v>3.89</c:v>
                </c:pt>
                <c:pt idx="22">
                  <c:v>3.98</c:v>
                </c:pt>
                <c:pt idx="23">
                  <c:v>4.1100000000000003</c:v>
                </c:pt>
                <c:pt idx="24">
                  <c:v>3.85</c:v>
                </c:pt>
                <c:pt idx="25">
                  <c:v>3.8</c:v>
                </c:pt>
                <c:pt idx="26">
                  <c:v>3.95</c:v>
                </c:pt>
                <c:pt idx="27">
                  <c:v>3.8</c:v>
                </c:pt>
                <c:pt idx="28">
                  <c:v>3.8</c:v>
                </c:pt>
                <c:pt idx="29">
                  <c:v>3.95</c:v>
                </c:pt>
                <c:pt idx="30">
                  <c:v>3.86</c:v>
                </c:pt>
                <c:pt idx="31">
                  <c:v>3.81</c:v>
                </c:pt>
                <c:pt idx="32">
                  <c:v>3.77</c:v>
                </c:pt>
                <c:pt idx="33">
                  <c:v>3.85</c:v>
                </c:pt>
                <c:pt idx="34">
                  <c:v>3.97</c:v>
                </c:pt>
                <c:pt idx="35">
                  <c:v>3.93</c:v>
                </c:pt>
                <c:pt idx="36">
                  <c:v>4.0199999999999996</c:v>
                </c:pt>
                <c:pt idx="37">
                  <c:v>4.0199999999999996</c:v>
                </c:pt>
                <c:pt idx="38">
                  <c:v>4.0999999999999996</c:v>
                </c:pt>
                <c:pt idx="39">
                  <c:v>3.98</c:v>
                </c:pt>
                <c:pt idx="40">
                  <c:v>3.96</c:v>
                </c:pt>
                <c:pt idx="41">
                  <c:v>3.88</c:v>
                </c:pt>
                <c:pt idx="42">
                  <c:v>3.85</c:v>
                </c:pt>
                <c:pt idx="43">
                  <c:v>4.09</c:v>
                </c:pt>
                <c:pt idx="44">
                  <c:v>4.1500000000000004</c:v>
                </c:pt>
                <c:pt idx="45">
                  <c:v>4.0999999999999996</c:v>
                </c:pt>
                <c:pt idx="46">
                  <c:v>4</c:v>
                </c:pt>
                <c:pt idx="47">
                  <c:v>3.88</c:v>
                </c:pt>
                <c:pt idx="48">
                  <c:v>3.96</c:v>
                </c:pt>
                <c:pt idx="49">
                  <c:v>3.86</c:v>
                </c:pt>
                <c:pt idx="50">
                  <c:v>3.97</c:v>
                </c:pt>
                <c:pt idx="51">
                  <c:v>3.96</c:v>
                </c:pt>
                <c:pt idx="52">
                  <c:v>4.16</c:v>
                </c:pt>
                <c:pt idx="53">
                  <c:v>4.1900000000000004</c:v>
                </c:pt>
                <c:pt idx="54">
                  <c:v>4.3899999999999997</c:v>
                </c:pt>
                <c:pt idx="55">
                  <c:v>4.3</c:v>
                </c:pt>
                <c:pt idx="56">
                  <c:v>4.2</c:v>
                </c:pt>
                <c:pt idx="57">
                  <c:v>4.26</c:v>
                </c:pt>
                <c:pt idx="58">
                  <c:v>4.29</c:v>
                </c:pt>
                <c:pt idx="59">
                  <c:v>4.25</c:v>
                </c:pt>
                <c:pt idx="60">
                  <c:v>4.29</c:v>
                </c:pt>
                <c:pt idx="61">
                  <c:v>4.38</c:v>
                </c:pt>
                <c:pt idx="62">
                  <c:v>4.26</c:v>
                </c:pt>
                <c:pt idx="63">
                  <c:v>4.22</c:v>
                </c:pt>
                <c:pt idx="64">
                  <c:v>4.32</c:v>
                </c:pt>
                <c:pt idx="65">
                  <c:v>4.37</c:v>
                </c:pt>
                <c:pt idx="66">
                  <c:v>4.46</c:v>
                </c:pt>
                <c:pt idx="67">
                  <c:v>4.3</c:v>
                </c:pt>
                <c:pt idx="68">
                  <c:v>4.2699999999999996</c:v>
                </c:pt>
                <c:pt idx="69">
                  <c:v>4.32</c:v>
                </c:pt>
                <c:pt idx="70">
                  <c:v>4.4000000000000004</c:v>
                </c:pt>
                <c:pt idx="71">
                  <c:v>4.28</c:v>
                </c:pt>
                <c:pt idx="72">
                  <c:v>4.33</c:v>
                </c:pt>
                <c:pt idx="73">
                  <c:v>4.34</c:v>
                </c:pt>
                <c:pt idx="74">
                  <c:v>4.28</c:v>
                </c:pt>
                <c:pt idx="75">
                  <c:v>4.32</c:v>
                </c:pt>
                <c:pt idx="76">
                  <c:v>4.22</c:v>
                </c:pt>
                <c:pt idx="77">
                  <c:v>4.07</c:v>
                </c:pt>
                <c:pt idx="78">
                  <c:v>4.1500000000000004</c:v>
                </c:pt>
                <c:pt idx="79">
                  <c:v>4.18</c:v>
                </c:pt>
                <c:pt idx="80">
                  <c:v>4.1900000000000004</c:v>
                </c:pt>
                <c:pt idx="81">
                  <c:v>4.13</c:v>
                </c:pt>
                <c:pt idx="82">
                  <c:v>4.09</c:v>
                </c:pt>
                <c:pt idx="83">
                  <c:v>4.04</c:v>
                </c:pt>
                <c:pt idx="84">
                  <c:v>4.04</c:v>
                </c:pt>
                <c:pt idx="85">
                  <c:v>4.1500000000000004</c:v>
                </c:pt>
                <c:pt idx="86">
                  <c:v>4.26</c:v>
                </c:pt>
                <c:pt idx="87">
                  <c:v>4.45</c:v>
                </c:pt>
                <c:pt idx="88">
                  <c:v>4.5</c:v>
                </c:pt>
                <c:pt idx="89">
                  <c:v>4.4000000000000004</c:v>
                </c:pt>
                <c:pt idx="90">
                  <c:v>4.34</c:v>
                </c:pt>
                <c:pt idx="91">
                  <c:v>4.3</c:v>
                </c:pt>
                <c:pt idx="92">
                  <c:v>4.42</c:v>
                </c:pt>
                <c:pt idx="93">
                  <c:v>4.5199999999999996</c:v>
                </c:pt>
                <c:pt idx="94">
                  <c:v>4.5199999999999996</c:v>
                </c:pt>
                <c:pt idx="95">
                  <c:v>4.62</c:v>
                </c:pt>
                <c:pt idx="96">
                  <c:v>4.53</c:v>
                </c:pt>
                <c:pt idx="97">
                  <c:v>4.5199999999999996</c:v>
                </c:pt>
                <c:pt idx="98">
                  <c:v>4.55</c:v>
                </c:pt>
                <c:pt idx="99">
                  <c:v>4.75</c:v>
                </c:pt>
                <c:pt idx="100">
                  <c:v>4.83</c:v>
                </c:pt>
                <c:pt idx="101">
                  <c:v>5.07</c:v>
                </c:pt>
                <c:pt idx="102">
                  <c:v>5.0999999999999996</c:v>
                </c:pt>
                <c:pt idx="103">
                  <c:v>4.92</c:v>
                </c:pt>
                <c:pt idx="104">
                  <c:v>4.8499999999999996</c:v>
                </c:pt>
                <c:pt idx="105">
                  <c:v>4.78</c:v>
                </c:pt>
                <c:pt idx="106">
                  <c:v>4.8</c:v>
                </c:pt>
                <c:pt idx="107">
                  <c:v>4.9800000000000004</c:v>
                </c:pt>
                <c:pt idx="108">
                  <c:v>5.01</c:v>
                </c:pt>
                <c:pt idx="109">
                  <c:v>5.05</c:v>
                </c:pt>
                <c:pt idx="110">
                  <c:v>5</c:v>
                </c:pt>
                <c:pt idx="111">
                  <c:v>5.3</c:v>
                </c:pt>
                <c:pt idx="112">
                  <c:v>5.45</c:v>
                </c:pt>
                <c:pt idx="113">
                  <c:v>5.57</c:v>
                </c:pt>
                <c:pt idx="114">
                  <c:v>5.6</c:v>
                </c:pt>
                <c:pt idx="115">
                  <c:v>5.68</c:v>
                </c:pt>
                <c:pt idx="116">
                  <c:v>5.55</c:v>
                </c:pt>
                <c:pt idx="117">
                  <c:v>5.58</c:v>
                </c:pt>
                <c:pt idx="118">
                  <c:v>5.69</c:v>
                </c:pt>
                <c:pt idx="119">
                  <c:v>5.58</c:v>
                </c:pt>
                <c:pt idx="120">
                  <c:v>5.44</c:v>
                </c:pt>
                <c:pt idx="121">
                  <c:v>5.41</c:v>
                </c:pt>
                <c:pt idx="122">
                  <c:v>5.37</c:v>
                </c:pt>
                <c:pt idx="123">
                  <c:v>5.21</c:v>
                </c:pt>
                <c:pt idx="124">
                  <c:v>5.37</c:v>
                </c:pt>
                <c:pt idx="125">
                  <c:v>5.29</c:v>
                </c:pt>
                <c:pt idx="126">
                  <c:v>5.34</c:v>
                </c:pt>
                <c:pt idx="127">
                  <c:v>5.27</c:v>
                </c:pt>
                <c:pt idx="128">
                  <c:v>5.37</c:v>
                </c:pt>
                <c:pt idx="129">
                  <c:v>5.38</c:v>
                </c:pt>
                <c:pt idx="130">
                  <c:v>5.2</c:v>
                </c:pt>
                <c:pt idx="131">
                  <c:v>5.22</c:v>
                </c:pt>
                <c:pt idx="132">
                  <c:v>5.15</c:v>
                </c:pt>
                <c:pt idx="133">
                  <c:v>5.27</c:v>
                </c:pt>
                <c:pt idx="134">
                  <c:v>5.3</c:v>
                </c:pt>
                <c:pt idx="135">
                  <c:v>5.31</c:v>
                </c:pt>
                <c:pt idx="136">
                  <c:v>5.36</c:v>
                </c:pt>
                <c:pt idx="137">
                  <c:v>5.29</c:v>
                </c:pt>
                <c:pt idx="138">
                  <c:v>5.25</c:v>
                </c:pt>
                <c:pt idx="139">
                  <c:v>5.12</c:v>
                </c:pt>
                <c:pt idx="140">
                  <c:v>5.22</c:v>
                </c:pt>
                <c:pt idx="141">
                  <c:v>5.3</c:v>
                </c:pt>
                <c:pt idx="142">
                  <c:v>5.0999999999999996</c:v>
                </c:pt>
                <c:pt idx="143">
                  <c:v>5.0999999999999996</c:v>
                </c:pt>
                <c:pt idx="144">
                  <c:v>5.09</c:v>
                </c:pt>
                <c:pt idx="145">
                  <c:v>4.95</c:v>
                </c:pt>
                <c:pt idx="146">
                  <c:v>5.05</c:v>
                </c:pt>
                <c:pt idx="147">
                  <c:v>4.96</c:v>
                </c:pt>
                <c:pt idx="148">
                  <c:v>4.92</c:v>
                </c:pt>
                <c:pt idx="149">
                  <c:v>4.9400000000000004</c:v>
                </c:pt>
                <c:pt idx="150">
                  <c:v>4.99</c:v>
                </c:pt>
                <c:pt idx="151">
                  <c:v>4.8499999999999996</c:v>
                </c:pt>
                <c:pt idx="152">
                  <c:v>4.83</c:v>
                </c:pt>
                <c:pt idx="153">
                  <c:v>4.76</c:v>
                </c:pt>
                <c:pt idx="154">
                  <c:v>4.7300000000000004</c:v>
                </c:pt>
                <c:pt idx="155">
                  <c:v>4.97</c:v>
                </c:pt>
                <c:pt idx="156">
                  <c:v>4.9800000000000004</c:v>
                </c:pt>
                <c:pt idx="157">
                  <c:v>4.99</c:v>
                </c:pt>
                <c:pt idx="158">
                  <c:v>4.87</c:v>
                </c:pt>
                <c:pt idx="159">
                  <c:v>4.9000000000000004</c:v>
                </c:pt>
                <c:pt idx="160">
                  <c:v>4.96</c:v>
                </c:pt>
                <c:pt idx="161">
                  <c:v>5.05</c:v>
                </c:pt>
                <c:pt idx="162">
                  <c:v>4.9000000000000004</c:v>
                </c:pt>
                <c:pt idx="163">
                  <c:v>5.08</c:v>
                </c:pt>
                <c:pt idx="164">
                  <c:v>5.29</c:v>
                </c:pt>
                <c:pt idx="165">
                  <c:v>5.29</c:v>
                </c:pt>
                <c:pt idx="166">
                  <c:v>5.21</c:v>
                </c:pt>
                <c:pt idx="167">
                  <c:v>5.15</c:v>
                </c:pt>
                <c:pt idx="168">
                  <c:v>5.07</c:v>
                </c:pt>
                <c:pt idx="169">
                  <c:v>6.2</c:v>
                </c:pt>
                <c:pt idx="170">
                  <c:v>6.23</c:v>
                </c:pt>
                <c:pt idx="171">
                  <c:v>6.46</c:v>
                </c:pt>
                <c:pt idx="172">
                  <c:v>6.43</c:v>
                </c:pt>
                <c:pt idx="173">
                  <c:v>6.02</c:v>
                </c:pt>
                <c:pt idx="174">
                  <c:v>6.02</c:v>
                </c:pt>
                <c:pt idx="175">
                  <c:v>5.69</c:v>
                </c:pt>
                <c:pt idx="176">
                  <c:v>5.64</c:v>
                </c:pt>
                <c:pt idx="177">
                  <c:v>5.27</c:v>
                </c:pt>
                <c:pt idx="178">
                  <c:v>5.43</c:v>
                </c:pt>
                <c:pt idx="179">
                  <c:v>5.6</c:v>
                </c:pt>
                <c:pt idx="180">
                  <c:v>5.61</c:v>
                </c:pt>
                <c:pt idx="181">
                  <c:v>5.65</c:v>
                </c:pt>
                <c:pt idx="182">
                  <c:v>5.55</c:v>
                </c:pt>
                <c:pt idx="183">
                  <c:v>5.68</c:v>
                </c:pt>
                <c:pt idx="184">
                  <c:v>5.9</c:v>
                </c:pt>
                <c:pt idx="185">
                  <c:v>5.81</c:v>
                </c:pt>
                <c:pt idx="186">
                  <c:v>5.77</c:v>
                </c:pt>
                <c:pt idx="187">
                  <c:v>5.89</c:v>
                </c:pt>
                <c:pt idx="188">
                  <c:v>5.89</c:v>
                </c:pt>
                <c:pt idx="189">
                  <c:v>5.83</c:v>
                </c:pt>
                <c:pt idx="190">
                  <c:v>5.95</c:v>
                </c:pt>
                <c:pt idx="191">
                  <c:v>5.9</c:v>
                </c:pt>
                <c:pt idx="192">
                  <c:v>5.92</c:v>
                </c:pt>
                <c:pt idx="193">
                  <c:v>5.84</c:v>
                </c:pt>
                <c:pt idx="194">
                  <c:v>5.62</c:v>
                </c:pt>
                <c:pt idx="195">
                  <c:v>5.59</c:v>
                </c:pt>
                <c:pt idx="196">
                  <c:v>5.15</c:v>
                </c:pt>
                <c:pt idx="197">
                  <c:v>5.1100000000000003</c:v>
                </c:pt>
                <c:pt idx="198">
                  <c:v>4.9800000000000004</c:v>
                </c:pt>
                <c:pt idx="199">
                  <c:v>5.3</c:v>
                </c:pt>
                <c:pt idx="200">
                  <c:v>5.27</c:v>
                </c:pt>
                <c:pt idx="201">
                  <c:v>5.16</c:v>
                </c:pt>
                <c:pt idx="202">
                  <c:v>5.0599999999999996</c:v>
                </c:pt>
                <c:pt idx="203">
                  <c:v>4.97</c:v>
                </c:pt>
                <c:pt idx="204">
                  <c:v>5.01</c:v>
                </c:pt>
                <c:pt idx="205">
                  <c:v>5</c:v>
                </c:pt>
                <c:pt idx="206">
                  <c:v>5.25</c:v>
                </c:pt>
                <c:pt idx="207">
                  <c:v>5.25</c:v>
                </c:pt>
                <c:pt idx="208">
                  <c:v>5.13</c:v>
                </c:pt>
                <c:pt idx="209">
                  <c:v>5.28</c:v>
                </c:pt>
                <c:pt idx="210">
                  <c:v>5.2</c:v>
                </c:pt>
                <c:pt idx="211">
                  <c:v>5.26</c:v>
                </c:pt>
                <c:pt idx="212">
                  <c:v>5.3</c:v>
                </c:pt>
                <c:pt idx="213">
                  <c:v>5.16</c:v>
                </c:pt>
                <c:pt idx="214">
                  <c:v>5.23</c:v>
                </c:pt>
                <c:pt idx="215">
                  <c:v>5.51</c:v>
                </c:pt>
                <c:pt idx="216">
                  <c:v>5.52</c:v>
                </c:pt>
                <c:pt idx="217">
                  <c:v>5.68</c:v>
                </c:pt>
                <c:pt idx="218">
                  <c:v>5.87</c:v>
                </c:pt>
                <c:pt idx="219">
                  <c:v>6.04</c:v>
                </c:pt>
                <c:pt idx="220">
                  <c:v>6.15</c:v>
                </c:pt>
                <c:pt idx="221">
                  <c:v>6.21</c:v>
                </c:pt>
                <c:pt idx="222">
                  <c:v>6.05</c:v>
                </c:pt>
                <c:pt idx="223">
                  <c:v>5.9</c:v>
                </c:pt>
                <c:pt idx="224">
                  <c:v>6</c:v>
                </c:pt>
                <c:pt idx="225">
                  <c:v>6.04</c:v>
                </c:pt>
                <c:pt idx="226">
                  <c:v>6.03</c:v>
                </c:pt>
                <c:pt idx="227">
                  <c:v>5.85</c:v>
                </c:pt>
                <c:pt idx="228">
                  <c:v>5.88</c:v>
                </c:pt>
                <c:pt idx="229">
                  <c:v>5.86</c:v>
                </c:pt>
                <c:pt idx="230">
                  <c:v>5.82</c:v>
                </c:pt>
                <c:pt idx="231">
                  <c:v>5.8</c:v>
                </c:pt>
                <c:pt idx="232">
                  <c:v>5.9</c:v>
                </c:pt>
                <c:pt idx="233">
                  <c:v>6</c:v>
                </c:pt>
                <c:pt idx="234">
                  <c:v>6.1</c:v>
                </c:pt>
                <c:pt idx="235">
                  <c:v>6.22</c:v>
                </c:pt>
                <c:pt idx="236">
                  <c:v>6.14</c:v>
                </c:pt>
                <c:pt idx="237">
                  <c:v>6.03</c:v>
                </c:pt>
                <c:pt idx="238">
                  <c:v>6.07</c:v>
                </c:pt>
                <c:pt idx="239">
                  <c:v>5.86</c:v>
                </c:pt>
                <c:pt idx="240">
                  <c:v>6.06</c:v>
                </c:pt>
                <c:pt idx="241">
                  <c:v>6.13</c:v>
                </c:pt>
                <c:pt idx="242">
                  <c:v>6.06</c:v>
                </c:pt>
                <c:pt idx="243">
                  <c:v>6.01</c:v>
                </c:pt>
                <c:pt idx="244">
                  <c:v>5.99</c:v>
                </c:pt>
                <c:pt idx="245">
                  <c:v>6.1</c:v>
                </c:pt>
                <c:pt idx="246">
                  <c:v>6.06</c:v>
                </c:pt>
                <c:pt idx="247">
                  <c:v>6.16</c:v>
                </c:pt>
                <c:pt idx="248">
                  <c:v>6.01</c:v>
                </c:pt>
                <c:pt idx="249">
                  <c:v>6.16</c:v>
                </c:pt>
                <c:pt idx="250">
                  <c:v>6.28</c:v>
                </c:pt>
                <c:pt idx="251">
                  <c:v>6.19</c:v>
                </c:pt>
                <c:pt idx="252">
                  <c:v>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2-B845-81F9-3AC6ADD0F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018912"/>
        <c:axId val="2072861552"/>
      </c:lineChart>
      <c:catAx>
        <c:axId val="130401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61552"/>
        <c:crosses val="autoZero"/>
        <c:auto val="1"/>
        <c:lblAlgn val="ctr"/>
        <c:lblOffset val="100"/>
        <c:noMultiLvlLbl val="0"/>
      </c:catAx>
      <c:valAx>
        <c:axId val="2072861552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Close price ($)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1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2000" b="1" i="0" u="none" strike="noStrike" baseline="0"/>
              <a:t>AEF - Maximum Profit Multiple Trade Analysis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'AEF-keep'!$G$1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'AEF-keep'!$C$2:$C$256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'AEF-keep'!$G$2:$G$256</c:f>
              <c:numCache>
                <c:formatCode>"$"#,##0.00</c:formatCode>
                <c:ptCount val="255"/>
                <c:pt idx="0">
                  <c:v>4.3</c:v>
                </c:pt>
                <c:pt idx="1">
                  <c:v>4.32</c:v>
                </c:pt>
                <c:pt idx="2">
                  <c:v>4.18</c:v>
                </c:pt>
                <c:pt idx="3">
                  <c:v>4.3</c:v>
                </c:pt>
                <c:pt idx="4">
                  <c:v>4.22</c:v>
                </c:pt>
                <c:pt idx="5">
                  <c:v>4.25</c:v>
                </c:pt>
                <c:pt idx="6">
                  <c:v>4</c:v>
                </c:pt>
                <c:pt idx="7">
                  <c:v>4.1399999999999997</c:v>
                </c:pt>
                <c:pt idx="8">
                  <c:v>4.1399999999999997</c:v>
                </c:pt>
                <c:pt idx="9">
                  <c:v>4.1100000000000003</c:v>
                </c:pt>
                <c:pt idx="10">
                  <c:v>4.0599999999999996</c:v>
                </c:pt>
                <c:pt idx="11">
                  <c:v>4.21</c:v>
                </c:pt>
                <c:pt idx="12">
                  <c:v>4.2699999999999996</c:v>
                </c:pt>
                <c:pt idx="13">
                  <c:v>4.22</c:v>
                </c:pt>
                <c:pt idx="14">
                  <c:v>4.1399999999999997</c:v>
                </c:pt>
                <c:pt idx="15">
                  <c:v>4.1100000000000003</c:v>
                </c:pt>
                <c:pt idx="16">
                  <c:v>4.05</c:v>
                </c:pt>
                <c:pt idx="17">
                  <c:v>4.1399999999999997</c:v>
                </c:pt>
                <c:pt idx="18">
                  <c:v>4.0599999999999996</c:v>
                </c:pt>
                <c:pt idx="19">
                  <c:v>4.03</c:v>
                </c:pt>
                <c:pt idx="20">
                  <c:v>3.97</c:v>
                </c:pt>
                <c:pt idx="21">
                  <c:v>3.89</c:v>
                </c:pt>
                <c:pt idx="22">
                  <c:v>3.98</c:v>
                </c:pt>
                <c:pt idx="23">
                  <c:v>4.1100000000000003</c:v>
                </c:pt>
                <c:pt idx="24">
                  <c:v>3.85</c:v>
                </c:pt>
                <c:pt idx="25">
                  <c:v>3.8</c:v>
                </c:pt>
                <c:pt idx="26">
                  <c:v>3.95</c:v>
                </c:pt>
                <c:pt idx="27">
                  <c:v>3.8</c:v>
                </c:pt>
                <c:pt idx="28">
                  <c:v>3.8</c:v>
                </c:pt>
                <c:pt idx="29">
                  <c:v>3.95</c:v>
                </c:pt>
                <c:pt idx="30">
                  <c:v>3.86</c:v>
                </c:pt>
                <c:pt idx="31">
                  <c:v>3.81</c:v>
                </c:pt>
                <c:pt idx="32">
                  <c:v>3.77</c:v>
                </c:pt>
                <c:pt idx="33">
                  <c:v>3.85</c:v>
                </c:pt>
                <c:pt idx="34">
                  <c:v>3.97</c:v>
                </c:pt>
                <c:pt idx="35">
                  <c:v>3.93</c:v>
                </c:pt>
                <c:pt idx="36">
                  <c:v>4.0199999999999996</c:v>
                </c:pt>
                <c:pt idx="37">
                  <c:v>4.0199999999999996</c:v>
                </c:pt>
                <c:pt idx="38">
                  <c:v>4.0999999999999996</c:v>
                </c:pt>
                <c:pt idx="39">
                  <c:v>3.98</c:v>
                </c:pt>
                <c:pt idx="40">
                  <c:v>3.96</c:v>
                </c:pt>
                <c:pt idx="41">
                  <c:v>3.88</c:v>
                </c:pt>
                <c:pt idx="42">
                  <c:v>3.85</c:v>
                </c:pt>
                <c:pt idx="43">
                  <c:v>4.09</c:v>
                </c:pt>
                <c:pt idx="44">
                  <c:v>4.1500000000000004</c:v>
                </c:pt>
                <c:pt idx="45">
                  <c:v>4.0999999999999996</c:v>
                </c:pt>
                <c:pt idx="46">
                  <c:v>4</c:v>
                </c:pt>
                <c:pt idx="47">
                  <c:v>3.88</c:v>
                </c:pt>
                <c:pt idx="48">
                  <c:v>3.96</c:v>
                </c:pt>
                <c:pt idx="49">
                  <c:v>3.86</c:v>
                </c:pt>
                <c:pt idx="50">
                  <c:v>3.97</c:v>
                </c:pt>
                <c:pt idx="51">
                  <c:v>3.96</c:v>
                </c:pt>
                <c:pt idx="52">
                  <c:v>4.16</c:v>
                </c:pt>
                <c:pt idx="53">
                  <c:v>4.1900000000000004</c:v>
                </c:pt>
                <c:pt idx="54">
                  <c:v>4.3899999999999997</c:v>
                </c:pt>
                <c:pt idx="55">
                  <c:v>4.3</c:v>
                </c:pt>
                <c:pt idx="56">
                  <c:v>4.2</c:v>
                </c:pt>
                <c:pt idx="57">
                  <c:v>4.26</c:v>
                </c:pt>
                <c:pt idx="58">
                  <c:v>4.29</c:v>
                </c:pt>
                <c:pt idx="59">
                  <c:v>4.25</c:v>
                </c:pt>
                <c:pt idx="60">
                  <c:v>4.29</c:v>
                </c:pt>
                <c:pt idx="61">
                  <c:v>4.38</c:v>
                </c:pt>
                <c:pt idx="62">
                  <c:v>4.26</c:v>
                </c:pt>
                <c:pt idx="63">
                  <c:v>4.22</c:v>
                </c:pt>
                <c:pt idx="64">
                  <c:v>4.32</c:v>
                </c:pt>
                <c:pt idx="65">
                  <c:v>4.37</c:v>
                </c:pt>
                <c:pt idx="66">
                  <c:v>4.46</c:v>
                </c:pt>
                <c:pt idx="67">
                  <c:v>4.3</c:v>
                </c:pt>
                <c:pt idx="68">
                  <c:v>4.2699999999999996</c:v>
                </c:pt>
                <c:pt idx="69">
                  <c:v>4.32</c:v>
                </c:pt>
                <c:pt idx="70">
                  <c:v>4.4000000000000004</c:v>
                </c:pt>
                <c:pt idx="71">
                  <c:v>4.28</c:v>
                </c:pt>
                <c:pt idx="72">
                  <c:v>4.33</c:v>
                </c:pt>
                <c:pt idx="73">
                  <c:v>4.34</c:v>
                </c:pt>
                <c:pt idx="74">
                  <c:v>4.28</c:v>
                </c:pt>
                <c:pt idx="75">
                  <c:v>4.32</c:v>
                </c:pt>
                <c:pt idx="76">
                  <c:v>4.22</c:v>
                </c:pt>
                <c:pt idx="77">
                  <c:v>4.07</c:v>
                </c:pt>
                <c:pt idx="78">
                  <c:v>4.1500000000000004</c:v>
                </c:pt>
                <c:pt idx="79">
                  <c:v>4.18</c:v>
                </c:pt>
                <c:pt idx="80">
                  <c:v>4.1900000000000004</c:v>
                </c:pt>
                <c:pt idx="81">
                  <c:v>4.13</c:v>
                </c:pt>
                <c:pt idx="82">
                  <c:v>4.09</c:v>
                </c:pt>
                <c:pt idx="83">
                  <c:v>4.04</c:v>
                </c:pt>
                <c:pt idx="84">
                  <c:v>4.04</c:v>
                </c:pt>
                <c:pt idx="85">
                  <c:v>4.1500000000000004</c:v>
                </c:pt>
                <c:pt idx="86">
                  <c:v>4.26</c:v>
                </c:pt>
                <c:pt idx="87">
                  <c:v>4.45</c:v>
                </c:pt>
                <c:pt idx="88">
                  <c:v>4.5</c:v>
                </c:pt>
                <c:pt idx="89">
                  <c:v>4.4000000000000004</c:v>
                </c:pt>
                <c:pt idx="90">
                  <c:v>4.34</c:v>
                </c:pt>
                <c:pt idx="91">
                  <c:v>4.3</c:v>
                </c:pt>
                <c:pt idx="92">
                  <c:v>4.42</c:v>
                </c:pt>
                <c:pt idx="93">
                  <c:v>4.5199999999999996</c:v>
                </c:pt>
                <c:pt idx="94">
                  <c:v>4.5199999999999996</c:v>
                </c:pt>
                <c:pt idx="95">
                  <c:v>4.62</c:v>
                </c:pt>
                <c:pt idx="96">
                  <c:v>4.53</c:v>
                </c:pt>
                <c:pt idx="97">
                  <c:v>4.5199999999999996</c:v>
                </c:pt>
                <c:pt idx="98">
                  <c:v>4.55</c:v>
                </c:pt>
                <c:pt idx="99">
                  <c:v>4.75</c:v>
                </c:pt>
                <c:pt idx="100">
                  <c:v>4.83</c:v>
                </c:pt>
                <c:pt idx="101">
                  <c:v>5.07</c:v>
                </c:pt>
                <c:pt idx="102">
                  <c:v>5.0999999999999996</c:v>
                </c:pt>
                <c:pt idx="103">
                  <c:v>4.92</c:v>
                </c:pt>
                <c:pt idx="104">
                  <c:v>4.8499999999999996</c:v>
                </c:pt>
                <c:pt idx="105">
                  <c:v>4.78</c:v>
                </c:pt>
                <c:pt idx="106">
                  <c:v>4.8</c:v>
                </c:pt>
                <c:pt idx="107">
                  <c:v>4.9800000000000004</c:v>
                </c:pt>
                <c:pt idx="108">
                  <c:v>5.01</c:v>
                </c:pt>
                <c:pt idx="109">
                  <c:v>5.05</c:v>
                </c:pt>
                <c:pt idx="110">
                  <c:v>5</c:v>
                </c:pt>
                <c:pt idx="111">
                  <c:v>5.3</c:v>
                </c:pt>
                <c:pt idx="112">
                  <c:v>5.45</c:v>
                </c:pt>
                <c:pt idx="113">
                  <c:v>5.57</c:v>
                </c:pt>
                <c:pt idx="114">
                  <c:v>5.6</c:v>
                </c:pt>
                <c:pt idx="115">
                  <c:v>5.68</c:v>
                </c:pt>
                <c:pt idx="116">
                  <c:v>5.55</c:v>
                </c:pt>
                <c:pt idx="117">
                  <c:v>5.58</c:v>
                </c:pt>
                <c:pt idx="118">
                  <c:v>5.69</c:v>
                </c:pt>
                <c:pt idx="119">
                  <c:v>5.58</c:v>
                </c:pt>
                <c:pt idx="120">
                  <c:v>5.44</c:v>
                </c:pt>
                <c:pt idx="121">
                  <c:v>5.41</c:v>
                </c:pt>
                <c:pt idx="122">
                  <c:v>5.37</c:v>
                </c:pt>
                <c:pt idx="123">
                  <c:v>5.21</c:v>
                </c:pt>
                <c:pt idx="124">
                  <c:v>5.37</c:v>
                </c:pt>
                <c:pt idx="125">
                  <c:v>5.29</c:v>
                </c:pt>
                <c:pt idx="126">
                  <c:v>5.34</c:v>
                </c:pt>
                <c:pt idx="127">
                  <c:v>5.27</c:v>
                </c:pt>
                <c:pt idx="128">
                  <c:v>5.37</c:v>
                </c:pt>
                <c:pt idx="129">
                  <c:v>5.38</c:v>
                </c:pt>
                <c:pt idx="130">
                  <c:v>5.2</c:v>
                </c:pt>
                <c:pt idx="131">
                  <c:v>5.22</c:v>
                </c:pt>
                <c:pt idx="132">
                  <c:v>5.15</c:v>
                </c:pt>
                <c:pt idx="133">
                  <c:v>5.27</c:v>
                </c:pt>
                <c:pt idx="134">
                  <c:v>5.3</c:v>
                </c:pt>
                <c:pt idx="135">
                  <c:v>5.31</c:v>
                </c:pt>
                <c:pt idx="136">
                  <c:v>5.36</c:v>
                </c:pt>
                <c:pt idx="137">
                  <c:v>5.29</c:v>
                </c:pt>
                <c:pt idx="138">
                  <c:v>5.25</c:v>
                </c:pt>
                <c:pt idx="139">
                  <c:v>5.12</c:v>
                </c:pt>
                <c:pt idx="140">
                  <c:v>5.22</c:v>
                </c:pt>
                <c:pt idx="141">
                  <c:v>5.3</c:v>
                </c:pt>
                <c:pt idx="142">
                  <c:v>5.0999999999999996</c:v>
                </c:pt>
                <c:pt idx="143">
                  <c:v>5.0999999999999996</c:v>
                </c:pt>
                <c:pt idx="144">
                  <c:v>5.09</c:v>
                </c:pt>
                <c:pt idx="145">
                  <c:v>4.95</c:v>
                </c:pt>
                <c:pt idx="146">
                  <c:v>5.05</c:v>
                </c:pt>
                <c:pt idx="147">
                  <c:v>4.96</c:v>
                </c:pt>
                <c:pt idx="148">
                  <c:v>4.92</c:v>
                </c:pt>
                <c:pt idx="149">
                  <c:v>4.9400000000000004</c:v>
                </c:pt>
                <c:pt idx="150">
                  <c:v>4.99</c:v>
                </c:pt>
                <c:pt idx="151">
                  <c:v>4.8499999999999996</c:v>
                </c:pt>
                <c:pt idx="152">
                  <c:v>4.83</c:v>
                </c:pt>
                <c:pt idx="153">
                  <c:v>4.76</c:v>
                </c:pt>
                <c:pt idx="154">
                  <c:v>4.7300000000000004</c:v>
                </c:pt>
                <c:pt idx="155">
                  <c:v>4.97</c:v>
                </c:pt>
                <c:pt idx="156">
                  <c:v>4.9800000000000004</c:v>
                </c:pt>
                <c:pt idx="157">
                  <c:v>4.99</c:v>
                </c:pt>
                <c:pt idx="158">
                  <c:v>4.87</c:v>
                </c:pt>
                <c:pt idx="159">
                  <c:v>4.9000000000000004</c:v>
                </c:pt>
                <c:pt idx="160">
                  <c:v>4.96</c:v>
                </c:pt>
                <c:pt idx="161">
                  <c:v>5.05</c:v>
                </c:pt>
                <c:pt idx="162">
                  <c:v>4.9000000000000004</c:v>
                </c:pt>
                <c:pt idx="163">
                  <c:v>5.08</c:v>
                </c:pt>
                <c:pt idx="164">
                  <c:v>5.29</c:v>
                </c:pt>
                <c:pt idx="165">
                  <c:v>5.29</c:v>
                </c:pt>
                <c:pt idx="166">
                  <c:v>5.21</c:v>
                </c:pt>
                <c:pt idx="167">
                  <c:v>5.15</c:v>
                </c:pt>
                <c:pt idx="168">
                  <c:v>5.07</c:v>
                </c:pt>
                <c:pt idx="169">
                  <c:v>6.2</c:v>
                </c:pt>
                <c:pt idx="170">
                  <c:v>6.23</c:v>
                </c:pt>
                <c:pt idx="171">
                  <c:v>6.46</c:v>
                </c:pt>
                <c:pt idx="172">
                  <c:v>6.43</c:v>
                </c:pt>
                <c:pt idx="173">
                  <c:v>6.02</c:v>
                </c:pt>
                <c:pt idx="174">
                  <c:v>6.02</c:v>
                </c:pt>
                <c:pt idx="175">
                  <c:v>5.69</c:v>
                </c:pt>
                <c:pt idx="176">
                  <c:v>5.64</c:v>
                </c:pt>
                <c:pt idx="177">
                  <c:v>5.27</c:v>
                </c:pt>
                <c:pt idx="178">
                  <c:v>5.43</c:v>
                </c:pt>
                <c:pt idx="179">
                  <c:v>5.6</c:v>
                </c:pt>
                <c:pt idx="180">
                  <c:v>5.61</c:v>
                </c:pt>
                <c:pt idx="181">
                  <c:v>5.65</c:v>
                </c:pt>
                <c:pt idx="182">
                  <c:v>5.55</c:v>
                </c:pt>
                <c:pt idx="183">
                  <c:v>5.68</c:v>
                </c:pt>
                <c:pt idx="184">
                  <c:v>5.9</c:v>
                </c:pt>
                <c:pt idx="185">
                  <c:v>5.81</c:v>
                </c:pt>
                <c:pt idx="186">
                  <c:v>5.77</c:v>
                </c:pt>
                <c:pt idx="187">
                  <c:v>5.89</c:v>
                </c:pt>
                <c:pt idx="188">
                  <c:v>5.89</c:v>
                </c:pt>
                <c:pt idx="189">
                  <c:v>5.83</c:v>
                </c:pt>
                <c:pt idx="190">
                  <c:v>5.95</c:v>
                </c:pt>
                <c:pt idx="191">
                  <c:v>5.9</c:v>
                </c:pt>
                <c:pt idx="192">
                  <c:v>5.92</c:v>
                </c:pt>
                <c:pt idx="193">
                  <c:v>5.84</c:v>
                </c:pt>
                <c:pt idx="194">
                  <c:v>5.62</c:v>
                </c:pt>
                <c:pt idx="195">
                  <c:v>5.59</c:v>
                </c:pt>
                <c:pt idx="196">
                  <c:v>5.15</c:v>
                </c:pt>
                <c:pt idx="197">
                  <c:v>5.1100000000000003</c:v>
                </c:pt>
                <c:pt idx="198">
                  <c:v>4.9800000000000004</c:v>
                </c:pt>
                <c:pt idx="199">
                  <c:v>5.3</c:v>
                </c:pt>
                <c:pt idx="200">
                  <c:v>5.27</c:v>
                </c:pt>
                <c:pt idx="201">
                  <c:v>5.16</c:v>
                </c:pt>
                <c:pt idx="202">
                  <c:v>5.0599999999999996</c:v>
                </c:pt>
                <c:pt idx="203">
                  <c:v>4.97</c:v>
                </c:pt>
                <c:pt idx="204">
                  <c:v>5.01</c:v>
                </c:pt>
                <c:pt idx="205">
                  <c:v>5</c:v>
                </c:pt>
                <c:pt idx="206">
                  <c:v>5.25</c:v>
                </c:pt>
                <c:pt idx="207">
                  <c:v>5.25</c:v>
                </c:pt>
                <c:pt idx="208">
                  <c:v>5.13</c:v>
                </c:pt>
                <c:pt idx="209">
                  <c:v>5.28</c:v>
                </c:pt>
                <c:pt idx="210">
                  <c:v>5.2</c:v>
                </c:pt>
                <c:pt idx="211">
                  <c:v>5.26</c:v>
                </c:pt>
                <c:pt idx="212">
                  <c:v>5.3</c:v>
                </c:pt>
                <c:pt idx="213">
                  <c:v>5.16</c:v>
                </c:pt>
                <c:pt idx="214">
                  <c:v>5.23</c:v>
                </c:pt>
                <c:pt idx="215">
                  <c:v>5.51</c:v>
                </c:pt>
                <c:pt idx="216">
                  <c:v>5.52</c:v>
                </c:pt>
                <c:pt idx="217">
                  <c:v>5.68</c:v>
                </c:pt>
                <c:pt idx="218">
                  <c:v>5.87</c:v>
                </c:pt>
                <c:pt idx="219">
                  <c:v>6.04</c:v>
                </c:pt>
                <c:pt idx="220">
                  <c:v>6.15</c:v>
                </c:pt>
                <c:pt idx="221">
                  <c:v>6.21</c:v>
                </c:pt>
                <c:pt idx="222">
                  <c:v>6.05</c:v>
                </c:pt>
                <c:pt idx="223">
                  <c:v>5.9</c:v>
                </c:pt>
                <c:pt idx="224">
                  <c:v>6</c:v>
                </c:pt>
                <c:pt idx="225">
                  <c:v>6.04</c:v>
                </c:pt>
                <c:pt idx="226">
                  <c:v>6.03</c:v>
                </c:pt>
                <c:pt idx="227">
                  <c:v>5.85</c:v>
                </c:pt>
                <c:pt idx="228">
                  <c:v>5.88</c:v>
                </c:pt>
                <c:pt idx="229">
                  <c:v>5.86</c:v>
                </c:pt>
                <c:pt idx="230">
                  <c:v>5.82</c:v>
                </c:pt>
                <c:pt idx="231">
                  <c:v>5.8</c:v>
                </c:pt>
                <c:pt idx="232">
                  <c:v>5.9</c:v>
                </c:pt>
                <c:pt idx="233">
                  <c:v>6</c:v>
                </c:pt>
                <c:pt idx="234">
                  <c:v>6.1</c:v>
                </c:pt>
                <c:pt idx="235">
                  <c:v>6.22</c:v>
                </c:pt>
                <c:pt idx="236">
                  <c:v>6.14</c:v>
                </c:pt>
                <c:pt idx="237">
                  <c:v>6.03</c:v>
                </c:pt>
                <c:pt idx="238">
                  <c:v>6.07</c:v>
                </c:pt>
                <c:pt idx="239">
                  <c:v>5.86</c:v>
                </c:pt>
                <c:pt idx="240">
                  <c:v>6.06</c:v>
                </c:pt>
                <c:pt idx="241">
                  <c:v>6.13</c:v>
                </c:pt>
                <c:pt idx="242">
                  <c:v>6.06</c:v>
                </c:pt>
                <c:pt idx="243">
                  <c:v>6.01</c:v>
                </c:pt>
                <c:pt idx="244">
                  <c:v>5.99</c:v>
                </c:pt>
                <c:pt idx="245">
                  <c:v>6.1</c:v>
                </c:pt>
                <c:pt idx="246">
                  <c:v>6.06</c:v>
                </c:pt>
                <c:pt idx="247">
                  <c:v>6.16</c:v>
                </c:pt>
                <c:pt idx="248">
                  <c:v>6.01</c:v>
                </c:pt>
                <c:pt idx="249">
                  <c:v>6.16</c:v>
                </c:pt>
                <c:pt idx="250">
                  <c:v>6.28</c:v>
                </c:pt>
                <c:pt idx="251">
                  <c:v>6.19</c:v>
                </c:pt>
                <c:pt idx="252">
                  <c:v>6.39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BD-BB4A-A458-592D36FF1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4018912"/>
        <c:axId val="2072861552"/>
      </c:lineChart>
      <c:catAx>
        <c:axId val="130401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B"/>
              </a:p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861552"/>
        <c:crosses val="autoZero"/>
        <c:auto val="1"/>
        <c:lblAlgn val="ctr"/>
        <c:lblOffset val="100"/>
        <c:noMultiLvlLbl val="0"/>
      </c:catAx>
      <c:valAx>
        <c:axId val="2072861552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Close price ($)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01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3600" b="1" i="0" u="none" strike="noStrike" baseline="0"/>
              <a:t>Volatility Analysis</a:t>
            </a:r>
            <a:endParaRPr lang="en-US" sz="3600" b="1">
              <a:solidFill>
                <a:schemeClr val="bg2">
                  <a:lumMod val="5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'AEF-keep'!$P$1</c:f>
              <c:strCache>
                <c:ptCount val="1"/>
                <c:pt idx="0">
                  <c:v>Daily spread</c:v>
                </c:pt>
              </c:strCache>
            </c:strRef>
          </c:tx>
          <c:spPr>
            <a:ln w="285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5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AF6-3249-9C67-61FA7CEB9FC8}"/>
                </c:ext>
              </c:extLst>
            </c:dLbl>
            <c:dLbl>
              <c:idx val="10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AF6-3249-9C67-61FA7CEB9FC8}"/>
                </c:ext>
              </c:extLst>
            </c:dLbl>
            <c:dLbl>
              <c:idx val="11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AF6-3249-9C67-61FA7CEB9FC8}"/>
                </c:ext>
              </c:extLst>
            </c:dLbl>
            <c:dLbl>
              <c:idx val="16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AF6-3249-9C67-61FA7CEB9FC8}"/>
                </c:ext>
              </c:extLst>
            </c:dLbl>
            <c:dLbl>
              <c:idx val="19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F6-3249-9C67-61FA7CEB9FC8}"/>
                </c:ext>
              </c:extLst>
            </c:dLbl>
            <c:dLbl>
              <c:idx val="2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AF6-3249-9C67-61FA7CEB9FC8}"/>
                </c:ext>
              </c:extLst>
            </c:dLbl>
            <c:dLbl>
              <c:idx val="22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AF6-3249-9C67-61FA7CEB9F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571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'AEF-keep'!$C$2:$C$256</c:f>
              <c:strCache>
                <c:ptCount val="253"/>
                <c:pt idx="0">
                  <c:v>01/07/2024</c:v>
                </c:pt>
                <c:pt idx="1">
                  <c:v>02/07/2024</c:v>
                </c:pt>
                <c:pt idx="2">
                  <c:v>03/07/2024</c:v>
                </c:pt>
                <c:pt idx="3">
                  <c:v>04/07/2024</c:v>
                </c:pt>
                <c:pt idx="4">
                  <c:v>05/07/2024</c:v>
                </c:pt>
                <c:pt idx="5">
                  <c:v>08/07/2024</c:v>
                </c:pt>
                <c:pt idx="6">
                  <c:v>09/07/2024</c:v>
                </c:pt>
                <c:pt idx="7">
                  <c:v>10/07/2024</c:v>
                </c:pt>
                <c:pt idx="8">
                  <c:v>11/07/2024</c:v>
                </c:pt>
                <c:pt idx="9">
                  <c:v>12/07/2024</c:v>
                </c:pt>
                <c:pt idx="10">
                  <c:v>15/07/2024</c:v>
                </c:pt>
                <c:pt idx="11">
                  <c:v>16/07/2024</c:v>
                </c:pt>
                <c:pt idx="12">
                  <c:v>17/07/2024</c:v>
                </c:pt>
                <c:pt idx="13">
                  <c:v>18/07/2024</c:v>
                </c:pt>
                <c:pt idx="14">
                  <c:v>19/07/2024</c:v>
                </c:pt>
                <c:pt idx="15">
                  <c:v>22/07/2024</c:v>
                </c:pt>
                <c:pt idx="16">
                  <c:v>23/07/2024</c:v>
                </c:pt>
                <c:pt idx="17">
                  <c:v>24/07/2024</c:v>
                </c:pt>
                <c:pt idx="18">
                  <c:v>25/07/2024</c:v>
                </c:pt>
                <c:pt idx="19">
                  <c:v>26/07/2024</c:v>
                </c:pt>
                <c:pt idx="20">
                  <c:v>29/07/2024</c:v>
                </c:pt>
                <c:pt idx="21">
                  <c:v>30/07/2024</c:v>
                </c:pt>
                <c:pt idx="22">
                  <c:v>31/07/2024</c:v>
                </c:pt>
                <c:pt idx="23">
                  <c:v>01/08/2024</c:v>
                </c:pt>
                <c:pt idx="24">
                  <c:v>02/08/2024</c:v>
                </c:pt>
                <c:pt idx="25">
                  <c:v>05/08/2024</c:v>
                </c:pt>
                <c:pt idx="26">
                  <c:v>06/08/2024</c:v>
                </c:pt>
                <c:pt idx="27">
                  <c:v>07/08/2024</c:v>
                </c:pt>
                <c:pt idx="28">
                  <c:v>08/08/2024</c:v>
                </c:pt>
                <c:pt idx="29">
                  <c:v>09/08/2024</c:v>
                </c:pt>
                <c:pt idx="30">
                  <c:v>12/08/2024</c:v>
                </c:pt>
                <c:pt idx="31">
                  <c:v>13/08/2024</c:v>
                </c:pt>
                <c:pt idx="32">
                  <c:v>14/08/2024</c:v>
                </c:pt>
                <c:pt idx="33">
                  <c:v>15/08/2024</c:v>
                </c:pt>
                <c:pt idx="34">
                  <c:v>16/08/2024</c:v>
                </c:pt>
                <c:pt idx="35">
                  <c:v>19/08/2024</c:v>
                </c:pt>
                <c:pt idx="36">
                  <c:v>20/08/2024</c:v>
                </c:pt>
                <c:pt idx="37">
                  <c:v>21/08/2024</c:v>
                </c:pt>
                <c:pt idx="38">
                  <c:v>22/08/2024</c:v>
                </c:pt>
                <c:pt idx="39">
                  <c:v>23/08/2024</c:v>
                </c:pt>
                <c:pt idx="40">
                  <c:v>26/08/2024</c:v>
                </c:pt>
                <c:pt idx="41">
                  <c:v>27/08/2024</c:v>
                </c:pt>
                <c:pt idx="42">
                  <c:v>28/08/2024</c:v>
                </c:pt>
                <c:pt idx="43">
                  <c:v>29/08/2024</c:v>
                </c:pt>
                <c:pt idx="44">
                  <c:v>30/08/2024</c:v>
                </c:pt>
                <c:pt idx="45">
                  <c:v>02/09/2024</c:v>
                </c:pt>
                <c:pt idx="46">
                  <c:v>03/09/2024</c:v>
                </c:pt>
                <c:pt idx="47">
                  <c:v>04/09/2024</c:v>
                </c:pt>
                <c:pt idx="48">
                  <c:v>05/09/2024</c:v>
                </c:pt>
                <c:pt idx="49">
                  <c:v>06/09/2024</c:v>
                </c:pt>
                <c:pt idx="50">
                  <c:v>09/09/2024</c:v>
                </c:pt>
                <c:pt idx="51">
                  <c:v>10/09/2024</c:v>
                </c:pt>
                <c:pt idx="52">
                  <c:v>11/09/2024</c:v>
                </c:pt>
                <c:pt idx="53">
                  <c:v>12/09/2024</c:v>
                </c:pt>
                <c:pt idx="54">
                  <c:v>13/09/2024</c:v>
                </c:pt>
                <c:pt idx="55">
                  <c:v>16/09/2024</c:v>
                </c:pt>
                <c:pt idx="56">
                  <c:v>17/09/2024</c:v>
                </c:pt>
                <c:pt idx="57">
                  <c:v>18/09/2024</c:v>
                </c:pt>
                <c:pt idx="58">
                  <c:v>19/09/2024</c:v>
                </c:pt>
                <c:pt idx="59">
                  <c:v>20/09/2024</c:v>
                </c:pt>
                <c:pt idx="60">
                  <c:v>23/09/2024</c:v>
                </c:pt>
                <c:pt idx="61">
                  <c:v>24/09/2024</c:v>
                </c:pt>
                <c:pt idx="62">
                  <c:v>25/09/2024</c:v>
                </c:pt>
                <c:pt idx="63">
                  <c:v>26/09/2024</c:v>
                </c:pt>
                <c:pt idx="64">
                  <c:v>27/09/2024</c:v>
                </c:pt>
                <c:pt idx="65">
                  <c:v>30/09/2024</c:v>
                </c:pt>
                <c:pt idx="66">
                  <c:v>01/10/2024</c:v>
                </c:pt>
                <c:pt idx="67">
                  <c:v>02/10/2024</c:v>
                </c:pt>
                <c:pt idx="68">
                  <c:v>03/10/2024</c:v>
                </c:pt>
                <c:pt idx="69">
                  <c:v>04/10/2024</c:v>
                </c:pt>
                <c:pt idx="70">
                  <c:v>07/10/2024</c:v>
                </c:pt>
                <c:pt idx="71">
                  <c:v>08/10/2024</c:v>
                </c:pt>
                <c:pt idx="72">
                  <c:v>09/10/2024</c:v>
                </c:pt>
                <c:pt idx="73">
                  <c:v>10/10/2024</c:v>
                </c:pt>
                <c:pt idx="74">
                  <c:v>11/10/2024</c:v>
                </c:pt>
                <c:pt idx="75">
                  <c:v>14/10/2024</c:v>
                </c:pt>
                <c:pt idx="76">
                  <c:v>15/10/2024</c:v>
                </c:pt>
                <c:pt idx="77">
                  <c:v>16/10/2024</c:v>
                </c:pt>
                <c:pt idx="78">
                  <c:v>17/10/2024</c:v>
                </c:pt>
                <c:pt idx="79">
                  <c:v>18/10/2024</c:v>
                </c:pt>
                <c:pt idx="80">
                  <c:v>21/10/2024</c:v>
                </c:pt>
                <c:pt idx="81">
                  <c:v>22/10/2024</c:v>
                </c:pt>
                <c:pt idx="82">
                  <c:v>23/10/2024</c:v>
                </c:pt>
                <c:pt idx="83">
                  <c:v>24/10/2024</c:v>
                </c:pt>
                <c:pt idx="84">
                  <c:v>25/10/2024</c:v>
                </c:pt>
                <c:pt idx="85">
                  <c:v>28/10/2024</c:v>
                </c:pt>
                <c:pt idx="86">
                  <c:v>29/10/2024</c:v>
                </c:pt>
                <c:pt idx="87">
                  <c:v>30/10/2024</c:v>
                </c:pt>
                <c:pt idx="88">
                  <c:v>31/10/2024</c:v>
                </c:pt>
                <c:pt idx="89">
                  <c:v>01/11/2024</c:v>
                </c:pt>
                <c:pt idx="90">
                  <c:v>04/11/2024</c:v>
                </c:pt>
                <c:pt idx="91">
                  <c:v>05/11/2024</c:v>
                </c:pt>
                <c:pt idx="92">
                  <c:v>06/11/2024</c:v>
                </c:pt>
                <c:pt idx="93">
                  <c:v>07/11/2024</c:v>
                </c:pt>
                <c:pt idx="94">
                  <c:v>08/11/2024</c:v>
                </c:pt>
                <c:pt idx="95">
                  <c:v>11/11/2024</c:v>
                </c:pt>
                <c:pt idx="96">
                  <c:v>12/11/2024</c:v>
                </c:pt>
                <c:pt idx="97">
                  <c:v>13/11/2024</c:v>
                </c:pt>
                <c:pt idx="98">
                  <c:v>14/11/2024</c:v>
                </c:pt>
                <c:pt idx="99">
                  <c:v>15/11/2024</c:v>
                </c:pt>
                <c:pt idx="100">
                  <c:v>18/11/2024</c:v>
                </c:pt>
                <c:pt idx="101">
                  <c:v>19/11/2024</c:v>
                </c:pt>
                <c:pt idx="102">
                  <c:v>20/11/2024</c:v>
                </c:pt>
                <c:pt idx="103">
                  <c:v>21/11/2024</c:v>
                </c:pt>
                <c:pt idx="104">
                  <c:v>22/11/2024</c:v>
                </c:pt>
                <c:pt idx="105">
                  <c:v>25/11/2024</c:v>
                </c:pt>
                <c:pt idx="106">
                  <c:v>26/11/2024</c:v>
                </c:pt>
                <c:pt idx="107">
                  <c:v>27/11/2024</c:v>
                </c:pt>
                <c:pt idx="108">
                  <c:v>28/11/2024</c:v>
                </c:pt>
                <c:pt idx="109">
                  <c:v>29/11/2024</c:v>
                </c:pt>
                <c:pt idx="110">
                  <c:v>02/12/2024</c:v>
                </c:pt>
                <c:pt idx="111">
                  <c:v>03/12/2024</c:v>
                </c:pt>
                <c:pt idx="112">
                  <c:v>04/12/2024</c:v>
                </c:pt>
                <c:pt idx="113">
                  <c:v>05/12/2024</c:v>
                </c:pt>
                <c:pt idx="114">
                  <c:v>06/12/2024</c:v>
                </c:pt>
                <c:pt idx="115">
                  <c:v>09/12/2024</c:v>
                </c:pt>
                <c:pt idx="116">
                  <c:v>10/12/2024</c:v>
                </c:pt>
                <c:pt idx="117">
                  <c:v>11/12/2024</c:v>
                </c:pt>
                <c:pt idx="118">
                  <c:v>12/12/2024</c:v>
                </c:pt>
                <c:pt idx="119">
                  <c:v>13/12/2024</c:v>
                </c:pt>
                <c:pt idx="120">
                  <c:v>16/12/2024</c:v>
                </c:pt>
                <c:pt idx="121">
                  <c:v>17/12/2024</c:v>
                </c:pt>
                <c:pt idx="122">
                  <c:v>18/12/2024</c:v>
                </c:pt>
                <c:pt idx="123">
                  <c:v>19/12/2024</c:v>
                </c:pt>
                <c:pt idx="124">
                  <c:v>20/12/2024</c:v>
                </c:pt>
                <c:pt idx="125">
                  <c:v>23/12/2024</c:v>
                </c:pt>
                <c:pt idx="126">
                  <c:v>24/12/2024</c:v>
                </c:pt>
                <c:pt idx="127">
                  <c:v>27/12/2024</c:v>
                </c:pt>
                <c:pt idx="128">
                  <c:v>30/12/2024</c:v>
                </c:pt>
                <c:pt idx="129">
                  <c:v>31/12/2024</c:v>
                </c:pt>
                <c:pt idx="130">
                  <c:v>02/01/2025</c:v>
                </c:pt>
                <c:pt idx="131">
                  <c:v>03/01/2025</c:v>
                </c:pt>
                <c:pt idx="132">
                  <c:v>06/01/2025</c:v>
                </c:pt>
                <c:pt idx="133">
                  <c:v>07/01/2025</c:v>
                </c:pt>
                <c:pt idx="134">
                  <c:v>08/01/2025</c:v>
                </c:pt>
                <c:pt idx="135">
                  <c:v>09/01/2025</c:v>
                </c:pt>
                <c:pt idx="136">
                  <c:v>10/01/2025</c:v>
                </c:pt>
                <c:pt idx="137">
                  <c:v>13/01/2025</c:v>
                </c:pt>
                <c:pt idx="138">
                  <c:v>14/01/2025</c:v>
                </c:pt>
                <c:pt idx="139">
                  <c:v>15/01/2025</c:v>
                </c:pt>
                <c:pt idx="140">
                  <c:v>16/01/2025</c:v>
                </c:pt>
                <c:pt idx="141">
                  <c:v>17/01/2025</c:v>
                </c:pt>
                <c:pt idx="142">
                  <c:v>20/01/2025</c:v>
                </c:pt>
                <c:pt idx="143">
                  <c:v>21/01/2025</c:v>
                </c:pt>
                <c:pt idx="144">
                  <c:v>22/01/2025</c:v>
                </c:pt>
                <c:pt idx="145">
                  <c:v>23/01/2025</c:v>
                </c:pt>
                <c:pt idx="146">
                  <c:v>24/01/2025</c:v>
                </c:pt>
                <c:pt idx="147">
                  <c:v>28/01/2025</c:v>
                </c:pt>
                <c:pt idx="148">
                  <c:v>29/01/2025</c:v>
                </c:pt>
                <c:pt idx="149">
                  <c:v>30/01/2025</c:v>
                </c:pt>
                <c:pt idx="150">
                  <c:v>31/01/2025</c:v>
                </c:pt>
                <c:pt idx="151">
                  <c:v>03/02/2025</c:v>
                </c:pt>
                <c:pt idx="152">
                  <c:v>04/02/2025</c:v>
                </c:pt>
                <c:pt idx="153">
                  <c:v>05/02/2025</c:v>
                </c:pt>
                <c:pt idx="154">
                  <c:v>06/02/2025</c:v>
                </c:pt>
                <c:pt idx="155">
                  <c:v>07/02/2025</c:v>
                </c:pt>
                <c:pt idx="156">
                  <c:v>10/02/2025</c:v>
                </c:pt>
                <c:pt idx="157">
                  <c:v>11/02/2025</c:v>
                </c:pt>
                <c:pt idx="158">
                  <c:v>12/02/2025</c:v>
                </c:pt>
                <c:pt idx="159">
                  <c:v>13/02/2025</c:v>
                </c:pt>
                <c:pt idx="160">
                  <c:v>14/02/2025</c:v>
                </c:pt>
                <c:pt idx="161">
                  <c:v>17/02/2025</c:v>
                </c:pt>
                <c:pt idx="162">
                  <c:v>18/02/2025</c:v>
                </c:pt>
                <c:pt idx="163">
                  <c:v>19/02/2025</c:v>
                </c:pt>
                <c:pt idx="164">
                  <c:v>20/02/2025</c:v>
                </c:pt>
                <c:pt idx="165">
                  <c:v>21/02/2025</c:v>
                </c:pt>
                <c:pt idx="166">
                  <c:v>24/02/2025</c:v>
                </c:pt>
                <c:pt idx="167">
                  <c:v>25/02/2025</c:v>
                </c:pt>
                <c:pt idx="168">
                  <c:v>26/02/2025</c:v>
                </c:pt>
                <c:pt idx="169">
                  <c:v>27/02/2025</c:v>
                </c:pt>
                <c:pt idx="170">
                  <c:v>28/02/2025</c:v>
                </c:pt>
                <c:pt idx="171">
                  <c:v>03/03/2025</c:v>
                </c:pt>
                <c:pt idx="172">
                  <c:v>04/03/2025</c:v>
                </c:pt>
                <c:pt idx="173">
                  <c:v>05/03/2025</c:v>
                </c:pt>
                <c:pt idx="174">
                  <c:v>06/03/2025</c:v>
                </c:pt>
                <c:pt idx="175">
                  <c:v>07/03/2025</c:v>
                </c:pt>
                <c:pt idx="176">
                  <c:v>10/03/2025</c:v>
                </c:pt>
                <c:pt idx="177">
                  <c:v>11/03/2025</c:v>
                </c:pt>
                <c:pt idx="178">
                  <c:v>12/03/2025</c:v>
                </c:pt>
                <c:pt idx="179">
                  <c:v>13/03/2025</c:v>
                </c:pt>
                <c:pt idx="180">
                  <c:v>14/03/2025</c:v>
                </c:pt>
                <c:pt idx="181">
                  <c:v>17/03/2025</c:v>
                </c:pt>
                <c:pt idx="182">
                  <c:v>18/03/2025</c:v>
                </c:pt>
                <c:pt idx="183">
                  <c:v>19/03/2025</c:v>
                </c:pt>
                <c:pt idx="184">
                  <c:v>20/03/2025</c:v>
                </c:pt>
                <c:pt idx="185">
                  <c:v>21/03/2025</c:v>
                </c:pt>
                <c:pt idx="186">
                  <c:v>24/03/2025</c:v>
                </c:pt>
                <c:pt idx="187">
                  <c:v>25/03/2025</c:v>
                </c:pt>
                <c:pt idx="188">
                  <c:v>26/03/2025</c:v>
                </c:pt>
                <c:pt idx="189">
                  <c:v>27/03/2025</c:v>
                </c:pt>
                <c:pt idx="190">
                  <c:v>28/03/2025</c:v>
                </c:pt>
                <c:pt idx="191">
                  <c:v>31/03/2025</c:v>
                </c:pt>
                <c:pt idx="192">
                  <c:v>01/04/2025</c:v>
                </c:pt>
                <c:pt idx="193">
                  <c:v>02/04/2025</c:v>
                </c:pt>
                <c:pt idx="194">
                  <c:v>03/04/2025</c:v>
                </c:pt>
                <c:pt idx="195">
                  <c:v>04/04/2025</c:v>
                </c:pt>
                <c:pt idx="196">
                  <c:v>07/04/2025</c:v>
                </c:pt>
                <c:pt idx="197">
                  <c:v>08/04/2025</c:v>
                </c:pt>
                <c:pt idx="198">
                  <c:v>09/04/2025</c:v>
                </c:pt>
                <c:pt idx="199">
                  <c:v>10/04/2025</c:v>
                </c:pt>
                <c:pt idx="200">
                  <c:v>11/04/2025</c:v>
                </c:pt>
                <c:pt idx="201">
                  <c:v>14/04/2025</c:v>
                </c:pt>
                <c:pt idx="202">
                  <c:v>15/04/2025</c:v>
                </c:pt>
                <c:pt idx="203">
                  <c:v>16/04/2025</c:v>
                </c:pt>
                <c:pt idx="204">
                  <c:v>17/04/2025</c:v>
                </c:pt>
                <c:pt idx="205">
                  <c:v>22/04/2025</c:v>
                </c:pt>
                <c:pt idx="206">
                  <c:v>23/04/2025</c:v>
                </c:pt>
                <c:pt idx="207">
                  <c:v>24/04/2025</c:v>
                </c:pt>
                <c:pt idx="208">
                  <c:v>28/04/2025</c:v>
                </c:pt>
                <c:pt idx="209">
                  <c:v>29/04/2025</c:v>
                </c:pt>
                <c:pt idx="210">
                  <c:v>30/04/2025</c:v>
                </c:pt>
                <c:pt idx="211">
                  <c:v>01/05/2025</c:v>
                </c:pt>
                <c:pt idx="212">
                  <c:v>02/05/2025</c:v>
                </c:pt>
                <c:pt idx="213">
                  <c:v>05/05/2025</c:v>
                </c:pt>
                <c:pt idx="214">
                  <c:v>06/05/2025</c:v>
                </c:pt>
                <c:pt idx="215">
                  <c:v>07/05/2025</c:v>
                </c:pt>
                <c:pt idx="216">
                  <c:v>08/05/2025</c:v>
                </c:pt>
                <c:pt idx="217">
                  <c:v>09/05/2025</c:v>
                </c:pt>
                <c:pt idx="218">
                  <c:v>12/05/2025</c:v>
                </c:pt>
                <c:pt idx="219">
                  <c:v>13/05/2025</c:v>
                </c:pt>
                <c:pt idx="220">
                  <c:v>14/05/2025</c:v>
                </c:pt>
                <c:pt idx="221">
                  <c:v>15/05/2025</c:v>
                </c:pt>
                <c:pt idx="222">
                  <c:v>16/05/2025</c:v>
                </c:pt>
                <c:pt idx="223">
                  <c:v>19/05/2025</c:v>
                </c:pt>
                <c:pt idx="224">
                  <c:v>20/05/2025</c:v>
                </c:pt>
                <c:pt idx="225">
                  <c:v>21/05/2025</c:v>
                </c:pt>
                <c:pt idx="226">
                  <c:v>22/05/2025</c:v>
                </c:pt>
                <c:pt idx="227">
                  <c:v>23/05/2025</c:v>
                </c:pt>
                <c:pt idx="228">
                  <c:v>26/05/2025</c:v>
                </c:pt>
                <c:pt idx="229">
                  <c:v>27/05/2025</c:v>
                </c:pt>
                <c:pt idx="230">
                  <c:v>28/05/2025</c:v>
                </c:pt>
                <c:pt idx="231">
                  <c:v>29/05/2025</c:v>
                </c:pt>
                <c:pt idx="232">
                  <c:v>30/05/2025</c:v>
                </c:pt>
                <c:pt idx="233">
                  <c:v>02/06/2025</c:v>
                </c:pt>
                <c:pt idx="234">
                  <c:v>03/06/2025</c:v>
                </c:pt>
                <c:pt idx="235">
                  <c:v>04/06/2025</c:v>
                </c:pt>
                <c:pt idx="236">
                  <c:v>05/06/2025</c:v>
                </c:pt>
                <c:pt idx="237">
                  <c:v>06/06/2025</c:v>
                </c:pt>
                <c:pt idx="238">
                  <c:v>10/06/2025</c:v>
                </c:pt>
                <c:pt idx="239">
                  <c:v>11/06/2025</c:v>
                </c:pt>
                <c:pt idx="240">
                  <c:v>12/06/2025</c:v>
                </c:pt>
                <c:pt idx="241">
                  <c:v>13/06/2025</c:v>
                </c:pt>
                <c:pt idx="242">
                  <c:v>16/06/2025</c:v>
                </c:pt>
                <c:pt idx="243">
                  <c:v>17/06/2025</c:v>
                </c:pt>
                <c:pt idx="244">
                  <c:v>18/06/2025</c:v>
                </c:pt>
                <c:pt idx="245">
                  <c:v>19/06/2025</c:v>
                </c:pt>
                <c:pt idx="246">
                  <c:v>20/06/2025</c:v>
                </c:pt>
                <c:pt idx="247">
                  <c:v>23/06/2025</c:v>
                </c:pt>
                <c:pt idx="248">
                  <c:v>24/06/2025</c:v>
                </c:pt>
                <c:pt idx="249">
                  <c:v>25/06/2025</c:v>
                </c:pt>
                <c:pt idx="250">
                  <c:v>26/06/2025</c:v>
                </c:pt>
                <c:pt idx="251">
                  <c:v>27/06/2025</c:v>
                </c:pt>
                <c:pt idx="252">
                  <c:v>30/06/2025</c:v>
                </c:pt>
              </c:strCache>
            </c:strRef>
          </c:cat>
          <c:val>
            <c:numRef>
              <c:f>'AEF-keep'!$P$2:$P$256</c:f>
              <c:numCache>
                <c:formatCode>"$"#,##0.00</c:formatCode>
                <c:ptCount val="255"/>
                <c:pt idx="0">
                  <c:v>0.22000000000000064</c:v>
                </c:pt>
                <c:pt idx="1">
                  <c:v>0.12999999999999989</c:v>
                </c:pt>
                <c:pt idx="2">
                  <c:v>0.15000000000000036</c:v>
                </c:pt>
                <c:pt idx="3">
                  <c:v>0.20999999999999996</c:v>
                </c:pt>
                <c:pt idx="4">
                  <c:v>0.16999999999999993</c:v>
                </c:pt>
                <c:pt idx="5">
                  <c:v>0.11000000000000032</c:v>
                </c:pt>
                <c:pt idx="6">
                  <c:v>0.26999999999999957</c:v>
                </c:pt>
                <c:pt idx="7">
                  <c:v>0.29000000000000004</c:v>
                </c:pt>
                <c:pt idx="8">
                  <c:v>0.25999999999999979</c:v>
                </c:pt>
                <c:pt idx="9">
                  <c:v>0.13999999999999968</c:v>
                </c:pt>
                <c:pt idx="10">
                  <c:v>0.12000000000000011</c:v>
                </c:pt>
                <c:pt idx="11">
                  <c:v>0.28000000000000025</c:v>
                </c:pt>
                <c:pt idx="12">
                  <c:v>0.13999999999999968</c:v>
                </c:pt>
                <c:pt idx="13">
                  <c:v>0.10999999999999943</c:v>
                </c:pt>
                <c:pt idx="14">
                  <c:v>0.12999999999999989</c:v>
                </c:pt>
                <c:pt idx="15">
                  <c:v>0.12000000000000011</c:v>
                </c:pt>
                <c:pt idx="16">
                  <c:v>0.16999999999999993</c:v>
                </c:pt>
                <c:pt idx="17">
                  <c:v>0.13999999999999968</c:v>
                </c:pt>
                <c:pt idx="18">
                  <c:v>0.19999999999999973</c:v>
                </c:pt>
                <c:pt idx="19">
                  <c:v>9.9999999999999645E-2</c:v>
                </c:pt>
                <c:pt idx="20">
                  <c:v>0.11000000000000032</c:v>
                </c:pt>
                <c:pt idx="21">
                  <c:v>8.0000000000000071E-2</c:v>
                </c:pt>
                <c:pt idx="22">
                  <c:v>0.10000000000000009</c:v>
                </c:pt>
                <c:pt idx="23">
                  <c:v>0.13999999999999968</c:v>
                </c:pt>
                <c:pt idx="24">
                  <c:v>0.31000000000000005</c:v>
                </c:pt>
                <c:pt idx="25">
                  <c:v>0.20999999999999996</c:v>
                </c:pt>
                <c:pt idx="26">
                  <c:v>0.25</c:v>
                </c:pt>
                <c:pt idx="27">
                  <c:v>0.20999999999999996</c:v>
                </c:pt>
                <c:pt idx="28">
                  <c:v>0.14000000000000012</c:v>
                </c:pt>
                <c:pt idx="29">
                  <c:v>0.2200000000000002</c:v>
                </c:pt>
                <c:pt idx="30">
                  <c:v>0.10000000000000009</c:v>
                </c:pt>
                <c:pt idx="31">
                  <c:v>0.17999999999999972</c:v>
                </c:pt>
                <c:pt idx="32">
                  <c:v>6.999999999999984E-2</c:v>
                </c:pt>
                <c:pt idx="33">
                  <c:v>0.15000000000000036</c:v>
                </c:pt>
                <c:pt idx="34">
                  <c:v>0.13000000000000034</c:v>
                </c:pt>
                <c:pt idx="35">
                  <c:v>0.12000000000000011</c:v>
                </c:pt>
                <c:pt idx="36">
                  <c:v>0.12999999999999945</c:v>
                </c:pt>
                <c:pt idx="37">
                  <c:v>0.13999999999999968</c:v>
                </c:pt>
                <c:pt idx="38">
                  <c:v>0.16000000000000014</c:v>
                </c:pt>
                <c:pt idx="39">
                  <c:v>0.18000000000000016</c:v>
                </c:pt>
                <c:pt idx="40">
                  <c:v>0.13000000000000034</c:v>
                </c:pt>
                <c:pt idx="41">
                  <c:v>8.9999999999999858E-2</c:v>
                </c:pt>
                <c:pt idx="42">
                  <c:v>0.10000000000000009</c:v>
                </c:pt>
                <c:pt idx="43">
                  <c:v>0.24000000000000021</c:v>
                </c:pt>
                <c:pt idx="44">
                  <c:v>0.10000000000000053</c:v>
                </c:pt>
                <c:pt idx="45">
                  <c:v>0.10999999999999943</c:v>
                </c:pt>
                <c:pt idx="46">
                  <c:v>0.11999999999999966</c:v>
                </c:pt>
                <c:pt idx="47">
                  <c:v>0.10000000000000009</c:v>
                </c:pt>
                <c:pt idx="48">
                  <c:v>0.15000000000000036</c:v>
                </c:pt>
                <c:pt idx="49">
                  <c:v>0.26000000000000023</c:v>
                </c:pt>
                <c:pt idx="50">
                  <c:v>0.19000000000000039</c:v>
                </c:pt>
                <c:pt idx="51">
                  <c:v>9.0000000000000302E-2</c:v>
                </c:pt>
                <c:pt idx="52">
                  <c:v>0.41000000000000014</c:v>
                </c:pt>
                <c:pt idx="53">
                  <c:v>0.15000000000000036</c:v>
                </c:pt>
                <c:pt idx="54">
                  <c:v>0.25999999999999979</c:v>
                </c:pt>
                <c:pt idx="55">
                  <c:v>0.15000000000000036</c:v>
                </c:pt>
                <c:pt idx="56">
                  <c:v>0.25</c:v>
                </c:pt>
                <c:pt idx="57">
                  <c:v>0.15000000000000036</c:v>
                </c:pt>
                <c:pt idx="58">
                  <c:v>0.21999999999999975</c:v>
                </c:pt>
                <c:pt idx="59">
                  <c:v>0.20000000000000018</c:v>
                </c:pt>
                <c:pt idx="60">
                  <c:v>5.9999999999999609E-2</c:v>
                </c:pt>
                <c:pt idx="61">
                  <c:v>0.16000000000000014</c:v>
                </c:pt>
                <c:pt idx="62">
                  <c:v>0.1800000000000006</c:v>
                </c:pt>
                <c:pt idx="63">
                  <c:v>0.12000000000000011</c:v>
                </c:pt>
                <c:pt idx="64">
                  <c:v>0.12999999999999989</c:v>
                </c:pt>
                <c:pt idx="65">
                  <c:v>0.20000000000000018</c:v>
                </c:pt>
                <c:pt idx="66">
                  <c:v>0.15000000000000036</c:v>
                </c:pt>
                <c:pt idx="67">
                  <c:v>0.19000000000000039</c:v>
                </c:pt>
                <c:pt idx="68">
                  <c:v>0.15000000000000036</c:v>
                </c:pt>
                <c:pt idx="69">
                  <c:v>0.10999999999999943</c:v>
                </c:pt>
                <c:pt idx="70">
                  <c:v>0.16000000000000014</c:v>
                </c:pt>
                <c:pt idx="71">
                  <c:v>0.33000000000000007</c:v>
                </c:pt>
                <c:pt idx="72">
                  <c:v>0.12999999999999989</c:v>
                </c:pt>
                <c:pt idx="73">
                  <c:v>0.10000000000000053</c:v>
                </c:pt>
                <c:pt idx="74">
                  <c:v>8.9999999999999858E-2</c:v>
                </c:pt>
                <c:pt idx="75">
                  <c:v>0.10000000000000053</c:v>
                </c:pt>
                <c:pt idx="76">
                  <c:v>0.19999999999999929</c:v>
                </c:pt>
                <c:pt idx="77">
                  <c:v>0.1899999999999995</c:v>
                </c:pt>
                <c:pt idx="78">
                  <c:v>0.10000000000000053</c:v>
                </c:pt>
                <c:pt idx="79">
                  <c:v>0.16999999999999993</c:v>
                </c:pt>
                <c:pt idx="80">
                  <c:v>0.19999999999999929</c:v>
                </c:pt>
                <c:pt idx="81">
                  <c:v>9.0000000000000746E-2</c:v>
                </c:pt>
                <c:pt idx="82">
                  <c:v>0.12000000000000011</c:v>
                </c:pt>
                <c:pt idx="83">
                  <c:v>8.9999999999999858E-2</c:v>
                </c:pt>
                <c:pt idx="84">
                  <c:v>0.12000000000000011</c:v>
                </c:pt>
                <c:pt idx="85">
                  <c:v>0.16999999999999993</c:v>
                </c:pt>
                <c:pt idx="86">
                  <c:v>0.16999999999999993</c:v>
                </c:pt>
                <c:pt idx="87">
                  <c:v>0.19000000000000039</c:v>
                </c:pt>
                <c:pt idx="88">
                  <c:v>0.19000000000000039</c:v>
                </c:pt>
                <c:pt idx="89">
                  <c:v>0.17999999999999972</c:v>
                </c:pt>
                <c:pt idx="90">
                  <c:v>0.10000000000000053</c:v>
                </c:pt>
                <c:pt idx="91">
                  <c:v>8.9999999999999858E-2</c:v>
                </c:pt>
                <c:pt idx="92">
                  <c:v>0.12000000000000011</c:v>
                </c:pt>
                <c:pt idx="93">
                  <c:v>0.24000000000000021</c:v>
                </c:pt>
                <c:pt idx="94">
                  <c:v>7.9999999999999183E-2</c:v>
                </c:pt>
                <c:pt idx="95">
                  <c:v>0.16000000000000014</c:v>
                </c:pt>
                <c:pt idx="96">
                  <c:v>0.17999999999999972</c:v>
                </c:pt>
                <c:pt idx="97">
                  <c:v>7.5000000000000178E-2</c:v>
                </c:pt>
                <c:pt idx="98">
                  <c:v>0.1800000000000006</c:v>
                </c:pt>
                <c:pt idx="99">
                  <c:v>0.27000000000000046</c:v>
                </c:pt>
                <c:pt idx="100">
                  <c:v>0.20999999999999996</c:v>
                </c:pt>
                <c:pt idx="101">
                  <c:v>0.39000000000000057</c:v>
                </c:pt>
                <c:pt idx="102">
                  <c:v>0.33000000000000007</c:v>
                </c:pt>
                <c:pt idx="103">
                  <c:v>0.26999999999999957</c:v>
                </c:pt>
                <c:pt idx="104">
                  <c:v>0.12999999999999989</c:v>
                </c:pt>
                <c:pt idx="105">
                  <c:v>0.13999999999999968</c:v>
                </c:pt>
                <c:pt idx="106">
                  <c:v>9.9999999999999645E-2</c:v>
                </c:pt>
                <c:pt idx="107">
                  <c:v>0.23000000000000043</c:v>
                </c:pt>
                <c:pt idx="108">
                  <c:v>0.11000000000000032</c:v>
                </c:pt>
                <c:pt idx="109">
                  <c:v>0.1899999999999995</c:v>
                </c:pt>
                <c:pt idx="110">
                  <c:v>0.15999999999999925</c:v>
                </c:pt>
                <c:pt idx="111">
                  <c:v>0.42999999999999972</c:v>
                </c:pt>
                <c:pt idx="112">
                  <c:v>0.25999999999999979</c:v>
                </c:pt>
                <c:pt idx="113">
                  <c:v>0.27999999999999936</c:v>
                </c:pt>
                <c:pt idx="114">
                  <c:v>9.9999999999999645E-2</c:v>
                </c:pt>
                <c:pt idx="115">
                  <c:v>0.14999999999999947</c:v>
                </c:pt>
                <c:pt idx="116">
                  <c:v>0.20999999999999996</c:v>
                </c:pt>
                <c:pt idx="117">
                  <c:v>0.11499999999999932</c:v>
                </c:pt>
                <c:pt idx="118">
                  <c:v>0.11000000000000032</c:v>
                </c:pt>
                <c:pt idx="119">
                  <c:v>0.12000000000000011</c:v>
                </c:pt>
                <c:pt idx="120">
                  <c:v>0.25</c:v>
                </c:pt>
                <c:pt idx="121">
                  <c:v>0.15500000000000025</c:v>
                </c:pt>
                <c:pt idx="122">
                  <c:v>9.9999999999999645E-2</c:v>
                </c:pt>
                <c:pt idx="123">
                  <c:v>0.20999999999999996</c:v>
                </c:pt>
                <c:pt idx="124">
                  <c:v>0.33000000000000007</c:v>
                </c:pt>
                <c:pt idx="125">
                  <c:v>0.14000000000000057</c:v>
                </c:pt>
                <c:pt idx="126">
                  <c:v>8.9999999999999858E-2</c:v>
                </c:pt>
                <c:pt idx="127">
                  <c:v>0.15000000000000036</c:v>
                </c:pt>
                <c:pt idx="128">
                  <c:v>0.14999999999999947</c:v>
                </c:pt>
                <c:pt idx="129">
                  <c:v>6.0000000000000497E-2</c:v>
                </c:pt>
                <c:pt idx="130">
                  <c:v>0.24000000000000021</c:v>
                </c:pt>
                <c:pt idx="131">
                  <c:v>8.9999999999999858E-2</c:v>
                </c:pt>
                <c:pt idx="132">
                  <c:v>0.23999999999999932</c:v>
                </c:pt>
                <c:pt idx="133">
                  <c:v>0.25</c:v>
                </c:pt>
                <c:pt idx="134">
                  <c:v>0.20000000000000018</c:v>
                </c:pt>
                <c:pt idx="135">
                  <c:v>8.0000000000000071E-2</c:v>
                </c:pt>
                <c:pt idx="136">
                  <c:v>0.1899999999999995</c:v>
                </c:pt>
                <c:pt idx="137">
                  <c:v>0.14999999999999947</c:v>
                </c:pt>
                <c:pt idx="138">
                  <c:v>0.16000000000000014</c:v>
                </c:pt>
                <c:pt idx="139">
                  <c:v>0.16000000000000014</c:v>
                </c:pt>
                <c:pt idx="140">
                  <c:v>5.9999999999999609E-2</c:v>
                </c:pt>
                <c:pt idx="141">
                  <c:v>0.20999999999999996</c:v>
                </c:pt>
                <c:pt idx="142">
                  <c:v>0.21999999999999975</c:v>
                </c:pt>
                <c:pt idx="143">
                  <c:v>0.20000000000000018</c:v>
                </c:pt>
                <c:pt idx="144">
                  <c:v>0.15000000000000036</c:v>
                </c:pt>
                <c:pt idx="145">
                  <c:v>0.17999999999999972</c:v>
                </c:pt>
                <c:pt idx="146">
                  <c:v>0.16999999999999993</c:v>
                </c:pt>
                <c:pt idx="147">
                  <c:v>8.9999999999999858E-2</c:v>
                </c:pt>
                <c:pt idx="148">
                  <c:v>0.17499999999999982</c:v>
                </c:pt>
                <c:pt idx="149">
                  <c:v>8.0000000000000071E-2</c:v>
                </c:pt>
                <c:pt idx="150">
                  <c:v>9.4999999999999751E-2</c:v>
                </c:pt>
                <c:pt idx="151">
                  <c:v>0.12000000000000011</c:v>
                </c:pt>
                <c:pt idx="152">
                  <c:v>8.0000000000000071E-2</c:v>
                </c:pt>
                <c:pt idx="153">
                  <c:v>0.14000000000000057</c:v>
                </c:pt>
                <c:pt idx="154">
                  <c:v>0.3199999999999994</c:v>
                </c:pt>
                <c:pt idx="155">
                  <c:v>0.29999999999999982</c:v>
                </c:pt>
                <c:pt idx="156">
                  <c:v>8.0000000000000071E-2</c:v>
                </c:pt>
                <c:pt idx="157">
                  <c:v>0.14000000000000057</c:v>
                </c:pt>
                <c:pt idx="158">
                  <c:v>0.13000000000000078</c:v>
                </c:pt>
                <c:pt idx="159">
                  <c:v>5.9999999999999609E-2</c:v>
                </c:pt>
                <c:pt idx="160">
                  <c:v>0.11000000000000032</c:v>
                </c:pt>
                <c:pt idx="161">
                  <c:v>8.0000000000000071E-2</c:v>
                </c:pt>
                <c:pt idx="162">
                  <c:v>0.19999999999999929</c:v>
                </c:pt>
                <c:pt idx="163">
                  <c:v>0.1899999999999995</c:v>
                </c:pt>
                <c:pt idx="164">
                  <c:v>0.26999999999999957</c:v>
                </c:pt>
                <c:pt idx="165">
                  <c:v>0.10999999999999943</c:v>
                </c:pt>
                <c:pt idx="166">
                  <c:v>0.19999999999999929</c:v>
                </c:pt>
                <c:pt idx="167">
                  <c:v>0.20999999999999996</c:v>
                </c:pt>
                <c:pt idx="168">
                  <c:v>0.14999999999999947</c:v>
                </c:pt>
                <c:pt idx="169">
                  <c:v>1.0199999999999996</c:v>
                </c:pt>
                <c:pt idx="170">
                  <c:v>0.21999999999999975</c:v>
                </c:pt>
                <c:pt idx="171">
                  <c:v>0.28000000000000025</c:v>
                </c:pt>
                <c:pt idx="172">
                  <c:v>0.11000000000000032</c:v>
                </c:pt>
                <c:pt idx="173">
                  <c:v>0.35500000000000043</c:v>
                </c:pt>
                <c:pt idx="174">
                  <c:v>0.19000000000000039</c:v>
                </c:pt>
                <c:pt idx="175">
                  <c:v>0.32000000000000028</c:v>
                </c:pt>
                <c:pt idx="176">
                  <c:v>0.23000000000000043</c:v>
                </c:pt>
                <c:pt idx="177">
                  <c:v>0.40999999999999925</c:v>
                </c:pt>
                <c:pt idx="178">
                  <c:v>0.34999999999999964</c:v>
                </c:pt>
                <c:pt idx="179">
                  <c:v>0.27000000000000046</c:v>
                </c:pt>
                <c:pt idx="180">
                  <c:v>0.18499999999999961</c:v>
                </c:pt>
                <c:pt idx="181">
                  <c:v>0.16999999999999993</c:v>
                </c:pt>
                <c:pt idx="182">
                  <c:v>0.29000000000000004</c:v>
                </c:pt>
                <c:pt idx="183">
                  <c:v>0.26000000000000068</c:v>
                </c:pt>
                <c:pt idx="184">
                  <c:v>0.28000000000000025</c:v>
                </c:pt>
                <c:pt idx="185">
                  <c:v>0.16999999999999993</c:v>
                </c:pt>
                <c:pt idx="186">
                  <c:v>0.14999999999999947</c:v>
                </c:pt>
                <c:pt idx="187">
                  <c:v>0.14000000000000057</c:v>
                </c:pt>
                <c:pt idx="188">
                  <c:v>0.12000000000000011</c:v>
                </c:pt>
                <c:pt idx="189">
                  <c:v>0.10000000000000053</c:v>
                </c:pt>
                <c:pt idx="190">
                  <c:v>0.20000000000000018</c:v>
                </c:pt>
                <c:pt idx="191">
                  <c:v>0.12999999999999989</c:v>
                </c:pt>
                <c:pt idx="192">
                  <c:v>0.12000000000000011</c:v>
                </c:pt>
                <c:pt idx="193">
                  <c:v>0.21999999999999975</c:v>
                </c:pt>
                <c:pt idx="194">
                  <c:v>0.35000000000000053</c:v>
                </c:pt>
                <c:pt idx="195">
                  <c:v>0.20500000000000007</c:v>
                </c:pt>
                <c:pt idx="196">
                  <c:v>0.59999999999999964</c:v>
                </c:pt>
                <c:pt idx="197">
                  <c:v>0.24000000000000021</c:v>
                </c:pt>
                <c:pt idx="198">
                  <c:v>0.32999999999999918</c:v>
                </c:pt>
                <c:pt idx="199">
                  <c:v>0.20000000000000018</c:v>
                </c:pt>
                <c:pt idx="200">
                  <c:v>0.1899999999999995</c:v>
                </c:pt>
                <c:pt idx="201">
                  <c:v>0.1800000000000006</c:v>
                </c:pt>
                <c:pt idx="202">
                  <c:v>0.25</c:v>
                </c:pt>
                <c:pt idx="203">
                  <c:v>0.14999999999999947</c:v>
                </c:pt>
                <c:pt idx="204">
                  <c:v>0.14999999999999947</c:v>
                </c:pt>
                <c:pt idx="205">
                  <c:v>9.9999999999999645E-2</c:v>
                </c:pt>
                <c:pt idx="206">
                  <c:v>0.25</c:v>
                </c:pt>
                <c:pt idx="207">
                  <c:v>0.10999999999999943</c:v>
                </c:pt>
                <c:pt idx="208">
                  <c:v>0.16999999999999993</c:v>
                </c:pt>
                <c:pt idx="209">
                  <c:v>0.33999999999999986</c:v>
                </c:pt>
                <c:pt idx="210">
                  <c:v>0.16000000000000014</c:v>
                </c:pt>
                <c:pt idx="211">
                  <c:v>0.15500000000000025</c:v>
                </c:pt>
                <c:pt idx="212">
                  <c:v>0.20999999999999996</c:v>
                </c:pt>
                <c:pt idx="213">
                  <c:v>0.1850000000000005</c:v>
                </c:pt>
                <c:pt idx="214">
                  <c:v>0.16000000000000014</c:v>
                </c:pt>
                <c:pt idx="215">
                  <c:v>0.41999999999999993</c:v>
                </c:pt>
                <c:pt idx="216">
                  <c:v>0.16999999999999993</c:v>
                </c:pt>
                <c:pt idx="217">
                  <c:v>0.20999999999999996</c:v>
                </c:pt>
                <c:pt idx="218">
                  <c:v>0.25999999999999979</c:v>
                </c:pt>
                <c:pt idx="219">
                  <c:v>0.3199999999999994</c:v>
                </c:pt>
                <c:pt idx="220">
                  <c:v>0.21999999999999975</c:v>
                </c:pt>
                <c:pt idx="221">
                  <c:v>0.16000000000000014</c:v>
                </c:pt>
                <c:pt idx="222">
                  <c:v>0.26999999999999957</c:v>
                </c:pt>
                <c:pt idx="223">
                  <c:v>0.39999999999999947</c:v>
                </c:pt>
                <c:pt idx="224">
                  <c:v>0.30999999999999961</c:v>
                </c:pt>
                <c:pt idx="225">
                  <c:v>0.13999999999999968</c:v>
                </c:pt>
                <c:pt idx="226">
                  <c:v>0.12999999999999989</c:v>
                </c:pt>
                <c:pt idx="227">
                  <c:v>0.21999999999999975</c:v>
                </c:pt>
                <c:pt idx="228">
                  <c:v>0.14999999999999947</c:v>
                </c:pt>
                <c:pt idx="229">
                  <c:v>0.24000000000000021</c:v>
                </c:pt>
                <c:pt idx="230">
                  <c:v>0.16000000000000014</c:v>
                </c:pt>
                <c:pt idx="231">
                  <c:v>0.17999999999999972</c:v>
                </c:pt>
                <c:pt idx="232">
                  <c:v>0.20999999999999996</c:v>
                </c:pt>
                <c:pt idx="233">
                  <c:v>0.14999999999999947</c:v>
                </c:pt>
                <c:pt idx="234">
                  <c:v>0.17500000000000071</c:v>
                </c:pt>
                <c:pt idx="235">
                  <c:v>0.20999999999999996</c:v>
                </c:pt>
                <c:pt idx="236">
                  <c:v>0.20999999999999996</c:v>
                </c:pt>
                <c:pt idx="237">
                  <c:v>0.17999999999999972</c:v>
                </c:pt>
                <c:pt idx="238">
                  <c:v>0.16999999999999993</c:v>
                </c:pt>
                <c:pt idx="239">
                  <c:v>0.28000000000000025</c:v>
                </c:pt>
                <c:pt idx="240">
                  <c:v>0.34000000000000075</c:v>
                </c:pt>
                <c:pt idx="241">
                  <c:v>0.13999999999999968</c:v>
                </c:pt>
                <c:pt idx="242">
                  <c:v>0.1899999999999995</c:v>
                </c:pt>
                <c:pt idx="243">
                  <c:v>0.14000000000000057</c:v>
                </c:pt>
                <c:pt idx="244">
                  <c:v>0.13999999999999968</c:v>
                </c:pt>
                <c:pt idx="245">
                  <c:v>0.19000000000000039</c:v>
                </c:pt>
                <c:pt idx="246">
                  <c:v>0.12999999999999989</c:v>
                </c:pt>
                <c:pt idx="247">
                  <c:v>0.33999999999999986</c:v>
                </c:pt>
                <c:pt idx="248">
                  <c:v>0.21999999999999975</c:v>
                </c:pt>
                <c:pt idx="249">
                  <c:v>0.25999999999999979</c:v>
                </c:pt>
                <c:pt idx="250">
                  <c:v>0.23000000000000043</c:v>
                </c:pt>
                <c:pt idx="251">
                  <c:v>0.16999999999999993</c:v>
                </c:pt>
                <c:pt idx="252">
                  <c:v>0.25999999999999979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F6-3249-9C67-61FA7CEB9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2735120"/>
        <c:axId val="1313689728"/>
      </c:lineChart>
      <c:catAx>
        <c:axId val="124273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689728"/>
        <c:crosses val="autoZero"/>
        <c:auto val="1"/>
        <c:lblAlgn val="ctr"/>
        <c:lblOffset val="100"/>
        <c:noMultiLvlLbl val="0"/>
      </c:catAx>
      <c:valAx>
        <c:axId val="1313689728"/>
        <c:scaling>
          <c:orientation val="minMax"/>
          <c:max val="1.1000000000000001"/>
          <c:min val="-0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Diff.</a:t>
                </a:r>
                <a:r>
                  <a:rPr lang="en-GB" baseline="0"/>
                  <a:t> between high and low price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73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bg2">
                    <a:lumMod val="50000"/>
                  </a:schemeClr>
                </a:solidFill>
              </a:rPr>
              <a:t>Monthly return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perf. analysis'!$D$1</c:f>
              <c:strCache>
                <c:ptCount val="1"/>
                <c:pt idx="0">
                  <c:v>Monthly return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826-D34C-8972-ECD85EB8398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826-D34C-8972-ECD85EB839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826-D34C-8972-ECD85EB8398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826-D34C-8972-ECD85EB8398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826-D34C-8972-ECD85EB8398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826-D34C-8972-ECD85EB83989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826-D34C-8972-ECD85EB8398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826-D34C-8972-ECD85EB83989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826-D34C-8972-ECD85EB83989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26-D34C-8972-ECD85EB8398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826-D34C-8972-ECD85EB8398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826-D34C-8972-ECD85EB83989}"/>
              </c:ext>
            </c:extLst>
          </c:dPt>
          <c:cat>
            <c:numRef>
              <c:f>'Monthly perf. analysis'!$A$2:$A$13</c:f>
              <c:numCache>
                <c:formatCode>mmm\-yy</c:formatCode>
                <c:ptCount val="12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</c:numCache>
            </c:numRef>
          </c:cat>
          <c:val>
            <c:numRef>
              <c:f>'Monthly perf. analysis'!$D$2:$D$13</c:f>
              <c:numCache>
                <c:formatCode>0.00%</c:formatCode>
                <c:ptCount val="12"/>
                <c:pt idx="0">
                  <c:v>-7.441860465116279E-2</c:v>
                </c:pt>
                <c:pt idx="1">
                  <c:v>9.7323600973235891E-3</c:v>
                </c:pt>
                <c:pt idx="2">
                  <c:v>6.5853658536585424E-2</c:v>
                </c:pt>
                <c:pt idx="3">
                  <c:v>8.9686098654708779E-3</c:v>
                </c:pt>
                <c:pt idx="4">
                  <c:v>0.14772727272727249</c:v>
                </c:pt>
                <c:pt idx="5">
                  <c:v>7.6000000000000068E-2</c:v>
                </c:pt>
                <c:pt idx="6">
                  <c:v>-4.0384615384615352E-2</c:v>
                </c:pt>
                <c:pt idx="7">
                  <c:v>0.2845360824742269</c:v>
                </c:pt>
                <c:pt idx="8">
                  <c:v>-8.6687306501547878E-2</c:v>
                </c:pt>
                <c:pt idx="9">
                  <c:v>-0.1216216216216216</c:v>
                </c:pt>
                <c:pt idx="10">
                  <c:v>0.12167300380228152</c:v>
                </c:pt>
                <c:pt idx="11">
                  <c:v>6.4999999999999947E-2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6-D34C-8972-ECD85EB83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063632"/>
        <c:axId val="1678967904"/>
      </c:barChart>
      <c:lineChart>
        <c:grouping val="standard"/>
        <c:varyColors val="0"/>
        <c:ser>
          <c:idx val="1"/>
          <c:order val="1"/>
          <c:tx>
            <c:v>Cumulative return (%)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'Monthly perf. analysis'!$E$2:$E$13</c:f>
              <c:numCache>
                <c:formatCode>0.00%</c:formatCode>
                <c:ptCount val="12"/>
                <c:pt idx="0">
                  <c:v>-7.441860465116279E-2</c:v>
                </c:pt>
                <c:pt idx="1">
                  <c:v>-6.4693487240430336E-2</c:v>
                </c:pt>
                <c:pt idx="2">
                  <c:v>1.1175682679942511E-3</c:v>
                </c:pt>
                <c:pt idx="3">
                  <c:v>1.0086278363807821E-2</c:v>
                </c:pt>
                <c:pt idx="4">
                  <c:v>0.15782845127503276</c:v>
                </c:pt>
                <c:pt idx="5">
                  <c:v>0.23394840089800972</c:v>
                </c:pt>
                <c:pt idx="6">
                  <c:v>0.19346930635149029</c:v>
                </c:pt>
                <c:pt idx="7">
                  <c:v>0.47855587881080464</c:v>
                </c:pt>
                <c:pt idx="8">
                  <c:v>0.3914537251078265</c:v>
                </c:pt>
                <c:pt idx="9">
                  <c:v>0.26935601111781615</c:v>
                </c:pt>
                <c:pt idx="10">
                  <c:v>0.3913567484697511</c:v>
                </c:pt>
                <c:pt idx="11">
                  <c:v>0.45661113035626588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826-D34C-8972-ECD85EB83989}"/>
            </c:ext>
          </c:extLst>
        </c:ser>
        <c:ser>
          <c:idx val="2"/>
          <c:order val="2"/>
          <c:tx>
            <c:v>Avg. Monthly Return (%)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'Monthly perf. analysis'!$F$2:$F$13</c:f>
              <c:numCache>
                <c:formatCode>0.00%</c:formatCode>
                <c:ptCount val="12"/>
                <c:pt idx="0">
                  <c:v>3.8031569945351097E-2</c:v>
                </c:pt>
                <c:pt idx="1">
                  <c:v>3.8031569945351097E-2</c:v>
                </c:pt>
                <c:pt idx="2">
                  <c:v>3.8031569945351097E-2</c:v>
                </c:pt>
                <c:pt idx="3">
                  <c:v>3.8031569945351097E-2</c:v>
                </c:pt>
                <c:pt idx="4">
                  <c:v>3.8031569945351097E-2</c:v>
                </c:pt>
                <c:pt idx="5">
                  <c:v>3.8031569945351097E-2</c:v>
                </c:pt>
                <c:pt idx="6">
                  <c:v>3.8031569945351097E-2</c:v>
                </c:pt>
                <c:pt idx="7">
                  <c:v>3.8031569945351097E-2</c:v>
                </c:pt>
                <c:pt idx="8">
                  <c:v>3.8031569945351097E-2</c:v>
                </c:pt>
                <c:pt idx="9">
                  <c:v>3.8031569945351097E-2</c:v>
                </c:pt>
                <c:pt idx="10">
                  <c:v>3.8031569945351097E-2</c:v>
                </c:pt>
                <c:pt idx="11">
                  <c:v>3.8031569945351097E-2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826-D34C-8972-ECD85EB83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063632"/>
        <c:axId val="1678967904"/>
      </c:lineChart>
      <c:dateAx>
        <c:axId val="486063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967904"/>
        <c:crosses val="autoZero"/>
        <c:auto val="1"/>
        <c:lblOffset val="100"/>
        <c:baseTimeUnit val="months"/>
      </c:dateAx>
      <c:valAx>
        <c:axId val="167896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06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202660</xdr:colOff>
      <xdr:row>1</xdr:row>
      <xdr:rowOff>40532</xdr:rowOff>
    </xdr:from>
    <xdr:to>
      <xdr:col>15</xdr:col>
      <xdr:colOff>13511</xdr:colOff>
      <xdr:row>40</xdr:row>
      <xdr:rowOff>65933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0.76252</cdr:x>
      <cdr:y>0.40223</cdr:y>
    </cdr:from>
    <cdr:to>
      <cdr:x>0.99101</cdr:x>
      <cdr:y>0.47459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6C71235-40D1-7DC0-29E8-DCFB834C09E5}"/>
            </a:ext>
          </a:extLst>
        </cdr:cNvPr>
        <cdr:cNvSpPr txBox="1"/>
      </cdr:nvSpPr>
      <cdr:spPr>
        <a:xfrm xmlns:a="http://schemas.openxmlformats.org/drawingml/2006/main">
          <a:off x="8025316" y="2553510"/>
          <a:ext cx="2404895" cy="45936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2000" b="1" kern="1200">
              <a:solidFill>
                <a:schemeClr val="bg2">
                  <a:lumMod val="50000"/>
                </a:schemeClr>
              </a:solidFill>
            </a:rPr>
            <a:t>Correlation = 0.2004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747889</xdr:colOff>
      <xdr:row>39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597647</xdr:colOff>
      <xdr:row>32</xdr:row>
      <xdr:rowOff>111760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600363</xdr:colOff>
      <xdr:row>32</xdr:row>
      <xdr:rowOff>57726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7690D0-80F7-A84D-A49C-E9B5FFDB9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0.0786</cdr:x>
      <cdr:y>0.6181</cdr:y>
    </cdr:from>
    <cdr:to>
      <cdr:x>0.90393</cdr:x>
      <cdr:y>0.6181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B1A3E5A-8BAA-3BE1-8752-59D0CF92DBB8}"/>
            </a:ext>
          </a:extLst>
        </cdr:cNvPr>
        <cdr:cNvCxnSpPr/>
      </cdr:nvCxnSpPr>
      <cdr:spPr>
        <a:xfrm xmlns:a="http://schemas.openxmlformats.org/drawingml/2006/main" flipH="1">
          <a:off x="831273" y="3232727"/>
          <a:ext cx="8728363" cy="0"/>
        </a:xfrm>
        <a:prstGeom xmlns:a="http://schemas.openxmlformats.org/drawingml/2006/main" prst="line">
          <a:avLst/>
        </a:prstGeom>
        <a:ln xmlns:a="http://schemas.openxmlformats.org/drawingml/2006/main" w="28575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0.77293</cdr:x>
      <cdr:y>0.55188</cdr:y>
    </cdr:from>
    <cdr:to>
      <cdr:x>0.89956</cdr:x>
      <cdr:y>0.60706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DFE709C-4485-95FE-3E67-159BB7D2FC9E}"/>
            </a:ext>
          </a:extLst>
        </cdr:cNvPr>
        <cdr:cNvSpPr txBox="1"/>
      </cdr:nvSpPr>
      <cdr:spPr>
        <a:xfrm xmlns:a="http://schemas.openxmlformats.org/drawingml/2006/main">
          <a:off x="8174182" y="2886364"/>
          <a:ext cx="1339274" cy="28863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400" b="1" kern="1200">
              <a:solidFill>
                <a:schemeClr val="accent6"/>
              </a:solidFill>
            </a:rPr>
            <a:t>Positive yield</a:t>
          </a:r>
        </a:p>
      </cdr:txBody>
    </cdr:sp>
  </cdr:relSizeAnchor>
  <cdr:relSizeAnchor xmlns:cdr="http://schemas.openxmlformats.org/drawingml/2006/chartDrawing">
    <cdr:from>
      <cdr:x>0.77227</cdr:x>
      <cdr:y>0.62781</cdr:y>
    </cdr:from>
    <cdr:to>
      <cdr:x>0.90175</cdr:x>
      <cdr:y>0.683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0C0435DB-CC85-5E48-52F6-2B6BAEB56D69}"/>
            </a:ext>
          </a:extLst>
        </cdr:cNvPr>
        <cdr:cNvSpPr txBox="1"/>
      </cdr:nvSpPr>
      <cdr:spPr>
        <a:xfrm xmlns:a="http://schemas.openxmlformats.org/drawingml/2006/main">
          <a:off x="8167253" y="3283528"/>
          <a:ext cx="1369291" cy="28863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400" b="1" kern="1200">
              <a:solidFill>
                <a:srgbClr val="FF0000"/>
              </a:solidFill>
            </a:rPr>
            <a:t>Negative yield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596900</xdr:colOff>
      <xdr:row>38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0.0943</cdr:x>
      <cdr:y>0.62531</cdr:y>
    </cdr:from>
    <cdr:to>
      <cdr:x>1</cdr:x>
      <cdr:y>0.62962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D465EDA9-2982-0662-1912-9E1AA414611C}"/>
            </a:ext>
          </a:extLst>
        </cdr:cNvPr>
        <cdr:cNvCxnSpPr/>
      </cdr:nvCxnSpPr>
      <cdr:spPr>
        <a:xfrm xmlns:a="http://schemas.openxmlformats.org/drawingml/2006/main" flipV="1">
          <a:off x="987778" y="3935686"/>
          <a:ext cx="9486900" cy="27184"/>
        </a:xfrm>
        <a:prstGeom xmlns:a="http://schemas.openxmlformats.org/drawingml/2006/main" prst="line">
          <a:avLst/>
        </a:prstGeom>
        <a:ln xmlns:a="http://schemas.openxmlformats.org/drawingml/2006/main"/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0.98133</cdr:x>
      <cdr:y>0.16567</cdr:y>
    </cdr:from>
    <cdr:to>
      <cdr:x>0.98983</cdr:x>
      <cdr:y>0.17962</cdr:y>
    </cdr:to>
    <cdr:sp macro="" textlink="">
      <cdr:nvSpPr>
        <cdr:cNvPr id="4" name="Oval 3">
          <a:extLst xmlns:a="http://schemas.openxmlformats.org/drawingml/2006/main">
            <a:ext uri="{FF2B5EF4-FFF2-40B4-BE49-F238E27FC236}">
              <a16:creationId xmlns:a16="http://schemas.microsoft.com/office/drawing/2014/main" id="{C106EB1C-0CE7-50D6-B3A9-4CAA88077FF0}"/>
            </a:ext>
          </a:extLst>
        </cdr:cNvPr>
        <cdr:cNvSpPr/>
      </cdr:nvSpPr>
      <cdr:spPr>
        <a:xfrm xmlns:a="http://schemas.openxmlformats.org/drawingml/2006/main">
          <a:off x="10293684" y="1058333"/>
          <a:ext cx="89123" cy="89123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>
            <a:lumMod val="75000"/>
          </a:schemeClr>
        </a:solidFill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0.09303</cdr:x>
      <cdr:y>0.62127</cdr:y>
    </cdr:from>
    <cdr:to>
      <cdr:x>0.10152</cdr:x>
      <cdr:y>0.63522</cdr:y>
    </cdr:to>
    <cdr:sp macro="" textlink="">
      <cdr:nvSpPr>
        <cdr:cNvPr id="5" name="Oval 4">
          <a:extLst xmlns:a="http://schemas.openxmlformats.org/drawingml/2006/main">
            <a:ext uri="{FF2B5EF4-FFF2-40B4-BE49-F238E27FC236}">
              <a16:creationId xmlns:a16="http://schemas.microsoft.com/office/drawing/2014/main" id="{B7E5B842-C67C-3535-04B8-0A7241C66423}"/>
            </a:ext>
          </a:extLst>
        </cdr:cNvPr>
        <cdr:cNvSpPr/>
      </cdr:nvSpPr>
      <cdr:spPr>
        <a:xfrm xmlns:a="http://schemas.openxmlformats.org/drawingml/2006/main">
          <a:off x="975434" y="3914510"/>
          <a:ext cx="89021" cy="87897"/>
        </a:xfrm>
        <a:prstGeom xmlns:a="http://schemas.openxmlformats.org/drawingml/2006/main" prst="ellipse">
          <a:avLst/>
        </a:prstGeom>
        <a:solidFill xmlns:a="http://schemas.openxmlformats.org/drawingml/2006/main">
          <a:srgbClr val="C00000"/>
        </a:solidFill>
        <a:ln xmlns:a="http://schemas.openxmlformats.org/drawingml/2006/main">
          <a:solidFill>
            <a:srgbClr val="C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0.75329</cdr:x>
      <cdr:y>0.65765</cdr:y>
    </cdr:from>
    <cdr:to>
      <cdr:x>0.9969</cdr:x>
      <cdr:y>0.84448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DB2B6CA-345C-5D18-09F4-D6D437D6350B}"/>
            </a:ext>
          </a:extLst>
        </cdr:cNvPr>
        <cdr:cNvSpPr txBox="1"/>
      </cdr:nvSpPr>
      <cdr:spPr>
        <a:xfrm xmlns:a="http://schemas.openxmlformats.org/drawingml/2006/main">
          <a:off x="7890470" y="4139244"/>
          <a:ext cx="2551736" cy="117591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2000" kern="1200">
              <a:solidFill>
                <a:schemeClr val="tx1">
                  <a:lumMod val="65000"/>
                  <a:lumOff val="35000"/>
                </a:schemeClr>
              </a:solidFill>
            </a:rPr>
            <a:t>Investment</a:t>
          </a:r>
          <a:r>
            <a:rPr lang="en-GB" sz="2000" kern="1200" baseline="0">
              <a:solidFill>
                <a:schemeClr val="tx1">
                  <a:lumMod val="65000"/>
                  <a:lumOff val="35000"/>
                </a:schemeClr>
              </a:solidFill>
            </a:rPr>
            <a:t> profit over time:</a:t>
          </a:r>
        </a:p>
        <a:p xmlns:a="http://schemas.openxmlformats.org/drawingml/2006/main">
          <a:r>
            <a:rPr lang="en-GB" sz="2000" b="1" kern="1200" baseline="0">
              <a:solidFill>
                <a:schemeClr val="accent6">
                  <a:lumMod val="75000"/>
                </a:schemeClr>
              </a:solidFill>
            </a:rPr>
            <a:t>48.61 %</a:t>
          </a:r>
          <a:endParaRPr lang="en-GB" sz="2000" b="1" kern="1200">
            <a:solidFill>
              <a:schemeClr val="accent6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0.69355</cdr:x>
      <cdr:y>0.15811</cdr:y>
    </cdr:from>
    <cdr:to>
      <cdr:x>0.70205</cdr:x>
      <cdr:y>0.17206</cdr:y>
    </cdr:to>
    <cdr:sp macro="" textlink="">
      <cdr:nvSpPr>
        <cdr:cNvPr id="15" name="Oval 14">
          <a:extLst xmlns:a="http://schemas.openxmlformats.org/drawingml/2006/main">
            <a:ext uri="{FF2B5EF4-FFF2-40B4-BE49-F238E27FC236}">
              <a16:creationId xmlns:a16="http://schemas.microsoft.com/office/drawing/2014/main" id="{A48161AE-9A90-3B19-95E9-10BF1606521F}"/>
            </a:ext>
          </a:extLst>
        </cdr:cNvPr>
        <cdr:cNvSpPr/>
      </cdr:nvSpPr>
      <cdr:spPr>
        <a:xfrm xmlns:a="http://schemas.openxmlformats.org/drawingml/2006/main">
          <a:off x="7284238" y="997973"/>
          <a:ext cx="89275" cy="88051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>
            <a:lumMod val="75000"/>
          </a:schemeClr>
        </a:solidFill>
        <a:ln xmlns:a="http://schemas.openxmlformats.org/drawingml/2006/main">
          <a:solidFill>
            <a:schemeClr val="accent6">
              <a:lumMod val="75000"/>
            </a:schemeClr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0.20252</cdr:x>
      <cdr:y>0.73233</cdr:y>
    </cdr:from>
    <cdr:to>
      <cdr:x>0.21102</cdr:x>
      <cdr:y>0.74629</cdr:y>
    </cdr:to>
    <cdr:sp macro="" textlink="">
      <cdr:nvSpPr>
        <cdr:cNvPr id="16" name="Oval 15">
          <a:extLst xmlns:a="http://schemas.openxmlformats.org/drawingml/2006/main">
            <a:ext uri="{FF2B5EF4-FFF2-40B4-BE49-F238E27FC236}">
              <a16:creationId xmlns:a16="http://schemas.microsoft.com/office/drawing/2014/main" id="{A48161AE-9A90-3B19-95E9-10BF1606521F}"/>
            </a:ext>
          </a:extLst>
        </cdr:cNvPr>
        <cdr:cNvSpPr/>
      </cdr:nvSpPr>
      <cdr:spPr>
        <a:xfrm xmlns:a="http://schemas.openxmlformats.org/drawingml/2006/main">
          <a:off x="2127011" y="4622382"/>
          <a:ext cx="89275" cy="88113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0</xdr:row>
      <xdr:rowOff>152400</xdr:rowOff>
    </xdr:from>
    <xdr:to>
      <xdr:col>14</xdr:col>
      <xdr:colOff>622300</xdr:colOff>
      <xdr:row>35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284655</xdr:colOff>
      <xdr:row>23</xdr:row>
      <xdr:rowOff>131379</xdr:rowOff>
    </xdr:from>
    <xdr:to>
      <xdr:col>5</xdr:col>
      <xdr:colOff>373652</xdr:colOff>
      <xdr:row>24</xdr:row>
      <xdr:rowOff>54965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5758793" y="3908534"/>
          <a:ext cx="88997" cy="87810"/>
        </a:xfrm>
        <a:prstGeom prst="ellipse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GB" kern="1200"/>
        </a:p>
      </xdr:txBody>
    </xdr:sp>
    <xdr:clientData/>
  </xdr:twoCellAnchor>
  <xdr:twoCellAnchor>
    <xdr:from>
      <xdr:col>11</xdr:col>
      <xdr:colOff>97658</xdr:colOff>
      <xdr:row>7</xdr:row>
      <xdr:rowOff>53865</xdr:rowOff>
    </xdr:from>
    <xdr:to>
      <xdr:col>11</xdr:col>
      <xdr:colOff>186655</xdr:colOff>
      <xdr:row>7</xdr:row>
      <xdr:rowOff>141675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0498520" y="1203434"/>
          <a:ext cx="88997" cy="87810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GB" kern="1200"/>
        </a:p>
      </xdr:txBody>
    </xdr:sp>
    <xdr:clientData/>
  </xdr:twoCellAnchor>
  <xdr:twoCellAnchor>
    <xdr:from>
      <xdr:col>5</xdr:col>
      <xdr:colOff>373652</xdr:colOff>
      <xdr:row>7</xdr:row>
      <xdr:rowOff>141675</xdr:rowOff>
    </xdr:from>
    <xdr:to>
      <xdr:col>11</xdr:col>
      <xdr:colOff>142157</xdr:colOff>
      <xdr:row>24</xdr:row>
      <xdr:rowOff>11060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CxnSpPr>
          <a:stCxn id="3" idx="6"/>
          <a:endCxn id="4" idx="4"/>
        </xdr:cNvCxnSpPr>
      </xdr:nvCxnSpPr>
      <xdr:spPr>
        <a:xfrm flipV="1">
          <a:off x="5847790" y="1291244"/>
          <a:ext cx="4695229" cy="26611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426983</xdr:colOff>
      <xdr:row>12</xdr:row>
      <xdr:rowOff>109483</xdr:rowOff>
    </xdr:from>
    <xdr:to>
      <xdr:col>7</xdr:col>
      <xdr:colOff>624053</xdr:colOff>
      <xdr:row>16</xdr:row>
      <xdr:rowOff>54742</xdr:rowOff>
    </xdr:to>
    <xdr:sp macro="" textlink="">
      <xdr:nvSpPr>
        <xdr:cNvPr id="9" name="TextBox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6722242" y="2080173"/>
          <a:ext cx="1018190" cy="602155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GB" sz="2000" kern="1200">
              <a:solidFill>
                <a:schemeClr val="tx1">
                  <a:lumMod val="65000"/>
                  <a:lumOff val="35000"/>
                </a:schemeClr>
              </a:solidFill>
            </a:rPr>
            <a:t>Profit</a:t>
          </a:r>
          <a:endParaRPr lang="en-GB" sz="2000" kern="12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GB" sz="2000" b="1" kern="1200" baseline="0">
              <a:solidFill>
                <a:schemeClr val="accent6">
                  <a:lumMod val="75000"/>
                </a:schemeClr>
              </a:solidFill>
            </a:rPr>
            <a:t>71.35%</a:t>
          </a:r>
          <a:endParaRPr lang="en-GB" sz="2000" b="1" kern="12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0.21215</cdr:x>
      <cdr:y>0.67619</cdr:y>
    </cdr:from>
    <cdr:to>
      <cdr:x>0.33024</cdr:x>
      <cdr:y>0.78983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0FCB6E-8B36-8A7F-CA02-D1A925B742C1}"/>
            </a:ext>
          </a:extLst>
        </cdr:cNvPr>
        <cdr:cNvSpPr txBox="1"/>
      </cdr:nvSpPr>
      <cdr:spPr>
        <a:xfrm xmlns:a="http://schemas.openxmlformats.org/drawingml/2006/main">
          <a:off x="2045575" y="3843721"/>
          <a:ext cx="1138621" cy="6459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Buy on 14/08/2024 at $3.77</a:t>
          </a:r>
        </a:p>
      </cdr:txBody>
    </cdr:sp>
  </cdr:relSizeAnchor>
  <cdr:relSizeAnchor xmlns:cdr="http://schemas.openxmlformats.org/drawingml/2006/chartDrawing">
    <cdr:from>
      <cdr:x>0.71949</cdr:x>
      <cdr:y>0.11487</cdr:y>
    </cdr:from>
    <cdr:to>
      <cdr:x>0.83758</cdr:x>
      <cdr:y>0.20732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CE9430C-4B0D-BB0C-AA3C-E9BACE4F5E6D}"/>
            </a:ext>
          </a:extLst>
        </cdr:cNvPr>
        <cdr:cNvSpPr txBox="1"/>
      </cdr:nvSpPr>
      <cdr:spPr>
        <a:xfrm xmlns:a="http://schemas.openxmlformats.org/drawingml/2006/main">
          <a:off x="6937265" y="652956"/>
          <a:ext cx="1138621" cy="5255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/>
            <a:t>Sell on 03/03/2025 at $6.46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10</xdr:col>
      <xdr:colOff>205827</xdr:colOff>
      <xdr:row>42</xdr:row>
      <xdr:rowOff>70945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0.08867</cdr:x>
      <cdr:y>0.67619</cdr:y>
    </cdr:from>
    <cdr:to>
      <cdr:x>0.22746</cdr:x>
      <cdr:y>0.78983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F0FCB6E-8B36-8A7F-CA02-D1A925B742C1}"/>
            </a:ext>
          </a:extLst>
        </cdr:cNvPr>
        <cdr:cNvSpPr txBox="1"/>
      </cdr:nvSpPr>
      <cdr:spPr>
        <a:xfrm xmlns:a="http://schemas.openxmlformats.org/drawingml/2006/main">
          <a:off x="857837" y="3806116"/>
          <a:ext cx="1342659" cy="639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kern="1200"/>
            <a:t>1st</a:t>
          </a:r>
          <a:r>
            <a:rPr lang="en-GB" sz="1100" kern="1200" baseline="0"/>
            <a:t> </a:t>
          </a:r>
          <a:r>
            <a:rPr lang="en-GB" sz="1100" kern="1200"/>
            <a:t>Buy on 05/07/2024</a:t>
          </a:r>
          <a:r>
            <a:rPr lang="en-GB" sz="1100" kern="1200" baseline="0"/>
            <a:t> at $4.22</a:t>
          </a:r>
          <a:endParaRPr lang="en-GB" sz="1100" kern="1200"/>
        </a:p>
      </cdr:txBody>
    </cdr:sp>
  </cdr:relSizeAnchor>
  <cdr:relSizeAnchor xmlns:cdr="http://schemas.openxmlformats.org/drawingml/2006/chartDrawing">
    <cdr:from>
      <cdr:x>0.34776</cdr:x>
      <cdr:y>0.63314</cdr:y>
    </cdr:from>
    <cdr:to>
      <cdr:x>0.46585</cdr:x>
      <cdr:y>0.72559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FCE9430C-4B0D-BB0C-AA3C-E9BACE4F5E6D}"/>
            </a:ext>
          </a:extLst>
        </cdr:cNvPr>
        <cdr:cNvSpPr txBox="1"/>
      </cdr:nvSpPr>
      <cdr:spPr>
        <a:xfrm xmlns:a="http://schemas.openxmlformats.org/drawingml/2006/main">
          <a:off x="3364283" y="3563803"/>
          <a:ext cx="1142431" cy="520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/>
            <a:t>1st</a:t>
          </a:r>
          <a:r>
            <a:rPr lang="en-GB" sz="1100" kern="1200" baseline="0"/>
            <a:t> </a:t>
          </a:r>
          <a:r>
            <a:rPr lang="en-GB" sz="1100" kern="1200"/>
            <a:t>Sell on 20/11/2024 at $5.10</a:t>
          </a:r>
        </a:p>
      </cdr:txBody>
    </cdr:sp>
  </cdr:relSizeAnchor>
  <cdr:relSizeAnchor xmlns:cdr="http://schemas.openxmlformats.org/drawingml/2006/chartDrawing">
    <cdr:from>
      <cdr:x>0.50176</cdr:x>
      <cdr:y>0.50049</cdr:y>
    </cdr:from>
    <cdr:to>
      <cdr:x>0.64055</cdr:x>
      <cdr:y>0.61413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3DDECE81-64CD-48C9-F9D7-4B0A5031EE0D}"/>
            </a:ext>
          </a:extLst>
        </cdr:cNvPr>
        <cdr:cNvSpPr txBox="1"/>
      </cdr:nvSpPr>
      <cdr:spPr>
        <a:xfrm xmlns:a="http://schemas.openxmlformats.org/drawingml/2006/main">
          <a:off x="4854166" y="2817137"/>
          <a:ext cx="1342659" cy="639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 baseline="0"/>
            <a:t>2nd </a:t>
          </a:r>
          <a:r>
            <a:rPr lang="en-GB" sz="1100" kern="1200"/>
            <a:t>Buy on 06/02/2025</a:t>
          </a:r>
          <a:r>
            <a:rPr lang="en-GB" sz="1100" kern="1200" baseline="0"/>
            <a:t> at $4.73</a:t>
          </a:r>
          <a:endParaRPr lang="en-GB" sz="1100" kern="1200"/>
        </a:p>
      </cdr:txBody>
    </cdr:sp>
  </cdr:relSizeAnchor>
  <cdr:relSizeAnchor xmlns:cdr="http://schemas.openxmlformats.org/drawingml/2006/chartDrawing">
    <cdr:from>
      <cdr:x>0.58885</cdr:x>
      <cdr:y>0.14529</cdr:y>
    </cdr:from>
    <cdr:to>
      <cdr:x>0.70694</cdr:x>
      <cdr:y>0.23774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DCDD4F28-1E1B-C612-65AD-085EF2841A49}"/>
            </a:ext>
          </a:extLst>
        </cdr:cNvPr>
        <cdr:cNvSpPr txBox="1"/>
      </cdr:nvSpPr>
      <cdr:spPr>
        <a:xfrm xmlns:a="http://schemas.openxmlformats.org/drawingml/2006/main">
          <a:off x="5696642" y="817830"/>
          <a:ext cx="1142431" cy="520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 baseline="0"/>
            <a:t>2nd </a:t>
          </a:r>
          <a:r>
            <a:rPr lang="en-GB" sz="1100" kern="1200"/>
            <a:t>Sell on 03/03/2025 at $6.46</a:t>
          </a:r>
        </a:p>
      </cdr:txBody>
    </cdr:sp>
  </cdr:relSizeAnchor>
  <cdr:relSizeAnchor xmlns:cdr="http://schemas.openxmlformats.org/drawingml/2006/chartDrawing">
    <cdr:from>
      <cdr:x>0.73182</cdr:x>
      <cdr:y>0.47145</cdr:y>
    </cdr:from>
    <cdr:to>
      <cdr:x>0.87061</cdr:x>
      <cdr:y>0.58509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644CDF94-0985-2D03-5266-9A50D479A732}"/>
            </a:ext>
          </a:extLst>
        </cdr:cNvPr>
        <cdr:cNvSpPr txBox="1"/>
      </cdr:nvSpPr>
      <cdr:spPr>
        <a:xfrm xmlns:a="http://schemas.openxmlformats.org/drawingml/2006/main">
          <a:off x="7079810" y="2653671"/>
          <a:ext cx="1342659" cy="6396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 baseline="0"/>
            <a:t>3rd </a:t>
          </a:r>
          <a:r>
            <a:rPr lang="en-GB" sz="1100" kern="1200"/>
            <a:t>Buy on 09/04/2025</a:t>
          </a:r>
          <a:r>
            <a:rPr lang="en-GB" sz="1100" kern="1200" baseline="0"/>
            <a:t> at $4.98</a:t>
          </a:r>
          <a:endParaRPr lang="en-GB" sz="1100" kern="1200"/>
        </a:p>
      </cdr:txBody>
    </cdr:sp>
  </cdr:relSizeAnchor>
  <cdr:relSizeAnchor xmlns:cdr="http://schemas.openxmlformats.org/drawingml/2006/chartDrawing">
    <cdr:from>
      <cdr:x>0.8553</cdr:x>
      <cdr:y>0.11625</cdr:y>
    </cdr:from>
    <cdr:to>
      <cdr:x>0.97339</cdr:x>
      <cdr:y>0.2087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77C80B0A-1775-38D2-948C-3EE2F1DCE6C8}"/>
            </a:ext>
          </a:extLst>
        </cdr:cNvPr>
        <cdr:cNvSpPr txBox="1"/>
      </cdr:nvSpPr>
      <cdr:spPr>
        <a:xfrm xmlns:a="http://schemas.openxmlformats.org/drawingml/2006/main">
          <a:off x="8274364" y="654365"/>
          <a:ext cx="1142431" cy="520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kern="1200" baseline="0"/>
            <a:t>3rd </a:t>
          </a:r>
          <a:r>
            <a:rPr lang="en-GB" sz="1100" kern="1200"/>
            <a:t>Sell on 15/05/2025 at $6.21</a:t>
          </a:r>
        </a:p>
      </cdr:txBody>
    </cdr:sp>
  </cdr:relSizeAnchor>
  <cdr:relSizeAnchor xmlns:cdr="http://schemas.openxmlformats.org/drawingml/2006/chartDrawing">
    <cdr:from>
      <cdr:x>0.10923</cdr:x>
      <cdr:y>0.61219</cdr:y>
    </cdr:from>
    <cdr:to>
      <cdr:x>0.11843</cdr:x>
      <cdr:y>0.62779</cdr:y>
    </cdr:to>
    <cdr:sp macro="" textlink="">
      <cdr:nvSpPr>
        <cdr:cNvPr id="8" name="Oval 7">
          <a:extLst xmlns:a="http://schemas.openxmlformats.org/drawingml/2006/main">
            <a:ext uri="{FF2B5EF4-FFF2-40B4-BE49-F238E27FC236}">
              <a16:creationId xmlns:a16="http://schemas.microsoft.com/office/drawing/2014/main" id="{D26952D7-01AD-EF4E-B994-04EEE25A76D0}"/>
            </a:ext>
          </a:extLst>
        </cdr:cNvPr>
        <cdr:cNvSpPr/>
      </cdr:nvSpPr>
      <cdr:spPr>
        <a:xfrm xmlns:a="http://schemas.openxmlformats.org/drawingml/2006/main">
          <a:off x="1051487" y="3529256"/>
          <a:ext cx="88555" cy="89935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/>
        </a:solidFill>
        <a:ln xmlns:a="http://schemas.openxmlformats.org/drawingml/2006/main">
          <a:solidFill>
            <a:schemeClr val="accent6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0.62654</cdr:x>
      <cdr:y>0.48485</cdr:y>
    </cdr:from>
    <cdr:to>
      <cdr:x>0.63574</cdr:x>
      <cdr:y>0.50045</cdr:y>
    </cdr:to>
    <cdr:sp macro="" textlink="">
      <cdr:nvSpPr>
        <cdr:cNvPr id="9" name="Oval 8">
          <a:extLst xmlns:a="http://schemas.openxmlformats.org/drawingml/2006/main">
            <a:ext uri="{FF2B5EF4-FFF2-40B4-BE49-F238E27FC236}">
              <a16:creationId xmlns:a16="http://schemas.microsoft.com/office/drawing/2014/main" id="{D26952D7-01AD-EF4E-B994-04EEE25A76D0}"/>
            </a:ext>
          </a:extLst>
        </cdr:cNvPr>
        <cdr:cNvSpPr/>
      </cdr:nvSpPr>
      <cdr:spPr>
        <a:xfrm xmlns:a="http://schemas.openxmlformats.org/drawingml/2006/main">
          <a:off x="6061295" y="2729116"/>
          <a:ext cx="88997" cy="8781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/>
        </a:solidFill>
        <a:ln xmlns:a="http://schemas.openxmlformats.org/drawingml/2006/main">
          <a:solidFill>
            <a:schemeClr val="accent6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0.78381</cdr:x>
      <cdr:y>0.44687</cdr:y>
    </cdr:from>
    <cdr:to>
      <cdr:x>0.79301</cdr:x>
      <cdr:y>0.46248</cdr:y>
    </cdr:to>
    <cdr:sp macro="" textlink="">
      <cdr:nvSpPr>
        <cdr:cNvPr id="10" name="Oval 9">
          <a:extLst xmlns:a="http://schemas.openxmlformats.org/drawingml/2006/main">
            <a:ext uri="{FF2B5EF4-FFF2-40B4-BE49-F238E27FC236}">
              <a16:creationId xmlns:a16="http://schemas.microsoft.com/office/drawing/2014/main" id="{D26952D7-01AD-EF4E-B994-04EEE25A76D0}"/>
            </a:ext>
          </a:extLst>
        </cdr:cNvPr>
        <cdr:cNvSpPr/>
      </cdr:nvSpPr>
      <cdr:spPr>
        <a:xfrm xmlns:a="http://schemas.openxmlformats.org/drawingml/2006/main">
          <a:off x="7582780" y="2515355"/>
          <a:ext cx="88997" cy="8781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accent6"/>
        </a:solidFill>
        <a:ln xmlns:a="http://schemas.openxmlformats.org/drawingml/2006/main">
          <a:solidFill>
            <a:schemeClr val="accent6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0.44402</cdr:x>
      <cdr:y>0.42693</cdr:y>
    </cdr:from>
    <cdr:to>
      <cdr:x>0.45322</cdr:x>
      <cdr:y>0.44253</cdr:y>
    </cdr:to>
    <cdr:sp macro="" textlink="">
      <cdr:nvSpPr>
        <cdr:cNvPr id="11" name="Oval 10">
          <a:extLst xmlns:a="http://schemas.openxmlformats.org/drawingml/2006/main">
            <a:ext uri="{FF2B5EF4-FFF2-40B4-BE49-F238E27FC236}">
              <a16:creationId xmlns:a16="http://schemas.microsoft.com/office/drawing/2014/main" id="{AC5E6C44-03E6-376F-6896-B531C969A2C3}"/>
            </a:ext>
          </a:extLst>
        </cdr:cNvPr>
        <cdr:cNvSpPr/>
      </cdr:nvSpPr>
      <cdr:spPr>
        <a:xfrm xmlns:a="http://schemas.openxmlformats.org/drawingml/2006/main">
          <a:off x="4274224" y="2461248"/>
          <a:ext cx="88554" cy="89936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0.68913</cdr:x>
      <cdr:y>0.18928</cdr:y>
    </cdr:from>
    <cdr:to>
      <cdr:x>0.69833</cdr:x>
      <cdr:y>0.20488</cdr:y>
    </cdr:to>
    <cdr:sp macro="" textlink="">
      <cdr:nvSpPr>
        <cdr:cNvPr id="12" name="Oval 11">
          <a:extLst xmlns:a="http://schemas.openxmlformats.org/drawingml/2006/main">
            <a:ext uri="{FF2B5EF4-FFF2-40B4-BE49-F238E27FC236}">
              <a16:creationId xmlns:a16="http://schemas.microsoft.com/office/drawing/2014/main" id="{AC5E6C44-03E6-376F-6896-B531C969A2C3}"/>
            </a:ext>
          </a:extLst>
        </cdr:cNvPr>
        <cdr:cNvSpPr/>
      </cdr:nvSpPr>
      <cdr:spPr>
        <a:xfrm xmlns:a="http://schemas.openxmlformats.org/drawingml/2006/main">
          <a:off x="6652613" y="1082817"/>
          <a:ext cx="88807" cy="89244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0.8631</cdr:x>
      <cdr:y>0.23018</cdr:y>
    </cdr:from>
    <cdr:to>
      <cdr:x>0.8723</cdr:x>
      <cdr:y>0.24578</cdr:y>
    </cdr:to>
    <cdr:sp macro="" textlink="">
      <cdr:nvSpPr>
        <cdr:cNvPr id="13" name="Oval 12">
          <a:extLst xmlns:a="http://schemas.openxmlformats.org/drawingml/2006/main">
            <a:ext uri="{FF2B5EF4-FFF2-40B4-BE49-F238E27FC236}">
              <a16:creationId xmlns:a16="http://schemas.microsoft.com/office/drawing/2014/main" id="{AC5E6C44-03E6-376F-6896-B531C969A2C3}"/>
            </a:ext>
          </a:extLst>
        </cdr:cNvPr>
        <cdr:cNvSpPr/>
      </cdr:nvSpPr>
      <cdr:spPr>
        <a:xfrm xmlns:a="http://schemas.openxmlformats.org/drawingml/2006/main">
          <a:off x="8349809" y="1295651"/>
          <a:ext cx="88997" cy="87810"/>
        </a:xfrm>
        <a:prstGeom xmlns:a="http://schemas.openxmlformats.org/drawingml/2006/main" prst="ellipse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0.10923</cdr:x>
      <cdr:y>0.44024</cdr:y>
    </cdr:from>
    <cdr:to>
      <cdr:x>0.44537</cdr:x>
      <cdr:y>0.61999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F4168DE7-C0FC-5C6C-6C10-9FE99E1A143B}"/>
            </a:ext>
          </a:extLst>
        </cdr:cNvPr>
        <cdr:cNvCxnSpPr>
          <a:stCxn xmlns:a="http://schemas.openxmlformats.org/drawingml/2006/main" id="8" idx="2"/>
          <a:endCxn xmlns:a="http://schemas.openxmlformats.org/drawingml/2006/main" id="11" idx="3"/>
        </cdr:cNvCxnSpPr>
      </cdr:nvCxnSpPr>
      <cdr:spPr>
        <a:xfrm xmlns:a="http://schemas.openxmlformats.org/drawingml/2006/main" flipV="1">
          <a:off x="1051487" y="2538013"/>
          <a:ext cx="3235705" cy="103621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0.63439</cdr:x>
      <cdr:y>0.19708</cdr:y>
    </cdr:from>
    <cdr:to>
      <cdr:x>0.68913</cdr:x>
      <cdr:y>0.49817</cdr:y>
    </cdr:to>
    <cdr:cxnSp macro="">
      <cdr:nvCxnSpPr>
        <cdr:cNvPr id="19" name="Straight Connector 18">
          <a:extLst xmlns:a="http://schemas.openxmlformats.org/drawingml/2006/main">
            <a:ext uri="{FF2B5EF4-FFF2-40B4-BE49-F238E27FC236}">
              <a16:creationId xmlns:a16="http://schemas.microsoft.com/office/drawing/2014/main" id="{A75EA98E-DB18-A219-FB68-99812D9A9687}"/>
            </a:ext>
          </a:extLst>
        </cdr:cNvPr>
        <cdr:cNvCxnSpPr>
          <a:stCxn xmlns:a="http://schemas.openxmlformats.org/drawingml/2006/main" id="9" idx="5"/>
          <a:endCxn xmlns:a="http://schemas.openxmlformats.org/drawingml/2006/main" id="12" idx="2"/>
        </cdr:cNvCxnSpPr>
      </cdr:nvCxnSpPr>
      <cdr:spPr>
        <a:xfrm xmlns:a="http://schemas.openxmlformats.org/drawingml/2006/main" flipV="1">
          <a:off x="6090855" y="1112046"/>
          <a:ext cx="525523" cy="169889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0.78516</cdr:x>
      <cdr:y>0.23798</cdr:y>
    </cdr:from>
    <cdr:to>
      <cdr:x>0.8723</cdr:x>
      <cdr:y>0.46019</cdr:y>
    </cdr:to>
    <cdr:cxnSp macro="">
      <cdr:nvCxnSpPr>
        <cdr:cNvPr id="23" name="Straight Connector 22">
          <a:extLst xmlns:a="http://schemas.openxmlformats.org/drawingml/2006/main">
            <a:ext uri="{FF2B5EF4-FFF2-40B4-BE49-F238E27FC236}">
              <a16:creationId xmlns:a16="http://schemas.microsoft.com/office/drawing/2014/main" id="{654C1C37-514F-5AAF-2E2B-D6FE59BD43F5}"/>
            </a:ext>
          </a:extLst>
        </cdr:cNvPr>
        <cdr:cNvCxnSpPr>
          <a:stCxn xmlns:a="http://schemas.openxmlformats.org/drawingml/2006/main" id="10" idx="3"/>
          <a:endCxn xmlns:a="http://schemas.openxmlformats.org/drawingml/2006/main" id="13" idx="6"/>
        </cdr:cNvCxnSpPr>
      </cdr:nvCxnSpPr>
      <cdr:spPr>
        <a:xfrm xmlns:a="http://schemas.openxmlformats.org/drawingml/2006/main" flipV="1">
          <a:off x="7538382" y="1342838"/>
          <a:ext cx="836618" cy="125381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0.11704</cdr:x>
      <cdr:y>0.11462</cdr:y>
    </cdr:from>
    <cdr:to>
      <cdr:x>0.3316</cdr:x>
      <cdr:y>0.27183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0C187BB8-0B71-54D2-8987-D040EBBF6AAA}"/>
            </a:ext>
          </a:extLst>
        </cdr:cNvPr>
        <cdr:cNvSpPr txBox="1"/>
      </cdr:nvSpPr>
      <cdr:spPr>
        <a:xfrm xmlns:a="http://schemas.openxmlformats.org/drawingml/2006/main">
          <a:off x="1129104" y="661838"/>
          <a:ext cx="2069860" cy="90769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 kern="1200">
              <a:solidFill>
                <a:schemeClr val="tx1">
                  <a:lumMod val="65000"/>
                  <a:lumOff val="35000"/>
                </a:schemeClr>
              </a:solidFill>
            </a:rPr>
            <a:t>Investment</a:t>
          </a:r>
          <a:r>
            <a:rPr lang="en-GB" sz="1800" kern="1200" baseline="0">
              <a:solidFill>
                <a:schemeClr val="tx1">
                  <a:lumMod val="65000"/>
                  <a:lumOff val="35000"/>
                </a:schemeClr>
              </a:solidFill>
            </a:rPr>
            <a:t> profit over time:</a:t>
          </a:r>
        </a:p>
        <a:p xmlns:a="http://schemas.openxmlformats.org/drawingml/2006/main">
          <a:r>
            <a:rPr lang="en-GB" sz="1800" b="1" kern="1200" baseline="0">
              <a:solidFill>
                <a:schemeClr val="accent6">
                  <a:lumMod val="75000"/>
                </a:schemeClr>
              </a:solidFill>
            </a:rPr>
            <a:t>105.82 %</a:t>
          </a:r>
          <a:endParaRPr lang="en-GB" sz="1800" b="1" kern="1200">
            <a:solidFill>
              <a:schemeClr val="accent6">
                <a:lumMod val="75000"/>
              </a:schemeClr>
            </a:solidFill>
          </a:endParaRPr>
        </a:p>
      </cdr:txBody>
    </cdr:sp>
  </cdr:relSizeAnchor>
  <cdr:relSizeAnchor xmlns:cdr="http://schemas.openxmlformats.org/drawingml/2006/chartDrawing">
    <cdr:from>
      <cdr:x>0.23846</cdr:x>
      <cdr:y>0.48556</cdr:y>
    </cdr:from>
    <cdr:to>
      <cdr:x>0.31918</cdr:x>
      <cdr:y>0.54988</cdr:y>
    </cdr:to>
    <cdr:sp macro="" textlink="">
      <cdr:nvSpPr>
        <cdr:cNvPr id="26" name="TextBox 25">
          <a:extLst xmlns:a="http://schemas.openxmlformats.org/drawingml/2006/main">
            <a:ext uri="{FF2B5EF4-FFF2-40B4-BE49-F238E27FC236}">
              <a16:creationId xmlns:a16="http://schemas.microsoft.com/office/drawing/2014/main" id="{80BA58CA-E610-E636-3ECB-451BE6CE7062}"/>
            </a:ext>
          </a:extLst>
        </cdr:cNvPr>
        <cdr:cNvSpPr txBox="1"/>
      </cdr:nvSpPr>
      <cdr:spPr>
        <a:xfrm xmlns:a="http://schemas.openxmlformats.org/drawingml/2006/main" rot="20529180">
          <a:off x="2300379" y="2803584"/>
          <a:ext cx="778773" cy="3714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100" b="1" kern="1200">
              <a:solidFill>
                <a:schemeClr val="accent6"/>
              </a:solidFill>
            </a:rPr>
            <a:t>+</a:t>
          </a:r>
          <a:r>
            <a:rPr lang="en-GB" sz="1100" b="1" kern="1200" baseline="0">
              <a:solidFill>
                <a:schemeClr val="accent6"/>
              </a:solidFill>
            </a:rPr>
            <a:t> 20.85%</a:t>
          </a:r>
          <a:endParaRPr lang="en-GB" sz="1100" b="1" kern="12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0.63742</cdr:x>
      <cdr:y>0.27233</cdr:y>
    </cdr:from>
    <cdr:to>
      <cdr:x>0.67592</cdr:x>
      <cdr:y>0.4072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F03D3022-BA29-7D30-8F99-90018D8CCB84}"/>
            </a:ext>
          </a:extLst>
        </cdr:cNvPr>
        <cdr:cNvSpPr txBox="1"/>
      </cdr:nvSpPr>
      <cdr:spPr>
        <a:xfrm xmlns:a="http://schemas.openxmlformats.org/drawingml/2006/main" rot="17171890">
          <a:off x="5945517" y="1776084"/>
          <a:ext cx="778773" cy="3714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b="1" kern="1200">
              <a:solidFill>
                <a:schemeClr val="accent6"/>
              </a:solidFill>
            </a:rPr>
            <a:t>+</a:t>
          </a:r>
          <a:r>
            <a:rPr lang="en-GB" sz="1100" b="1" kern="1200" baseline="0">
              <a:solidFill>
                <a:schemeClr val="accent6"/>
              </a:solidFill>
            </a:rPr>
            <a:t> 36.58%</a:t>
          </a:r>
          <a:endParaRPr lang="en-GB" sz="1100" b="1" kern="1200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0.81006</cdr:x>
      <cdr:y>0.2661</cdr:y>
    </cdr:from>
    <cdr:to>
      <cdr:x>0.84856</cdr:x>
      <cdr:y>0.40098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30DCB6F1-4F8A-FEDD-C974-C41D2024CE0C}"/>
            </a:ext>
          </a:extLst>
        </cdr:cNvPr>
        <cdr:cNvSpPr txBox="1"/>
      </cdr:nvSpPr>
      <cdr:spPr>
        <a:xfrm xmlns:a="http://schemas.openxmlformats.org/drawingml/2006/main" rot="18267412">
          <a:off x="7610896" y="1740141"/>
          <a:ext cx="778773" cy="3714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100" b="1" kern="1200">
              <a:solidFill>
                <a:schemeClr val="accent6"/>
              </a:solidFill>
            </a:rPr>
            <a:t>+</a:t>
          </a:r>
          <a:r>
            <a:rPr lang="en-GB" sz="1100" b="1" kern="1200" baseline="0">
              <a:solidFill>
                <a:schemeClr val="accent6"/>
              </a:solidFill>
            </a:rPr>
            <a:t> 24.70%</a:t>
          </a:r>
          <a:endParaRPr lang="en-GB" sz="1100" b="1" kern="1200">
            <a:solidFill>
              <a:schemeClr val="accent6"/>
            </a:solidFill>
          </a:endParaRP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482600</xdr:colOff>
      <xdr:row>37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0.87764</cdr:x>
      <cdr:y>0.58776</cdr:y>
    </cdr:from>
    <cdr:to>
      <cdr:x>1</cdr:x>
      <cdr:y>0.67551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92014E-539E-5428-703E-0EF7266063FC}"/>
            </a:ext>
          </a:extLst>
        </cdr:cNvPr>
        <cdr:cNvSpPr txBox="1"/>
      </cdr:nvSpPr>
      <cdr:spPr>
        <a:xfrm xmlns:a="http://schemas.openxmlformats.org/drawingml/2006/main">
          <a:off x="10566400" y="3657600"/>
          <a:ext cx="1473200" cy="546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900" kern="1200"/>
            <a:t>Daily spread average : $0.18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83488</xdr:colOff>
      <xdr:row>0</xdr:row>
      <xdr:rowOff>86547</xdr:rowOff>
    </xdr:from>
    <xdr:to>
      <xdr:col>15</xdr:col>
      <xdr:colOff>446850</xdr:colOff>
      <xdr:row>28</xdr:row>
      <xdr:rowOff>105833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19FF1-CE7F-E3CF-225B-FFD57BA4D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3462-83C5-6D46-A647-FF833B69F609}">
  <sheetPr>
    <tabColor rgb="FFFF0000"/>
  </sheetPr>
  <dimension ref="A1:R256"/>
  <sheetViews>
    <sheetView topLeftCell="C1" zoomScale="170" workbookViewId="0">
      <selection activeCell="P3" sqref="P3"/>
    </sheetView>
  </sheetViews>
  <sheetFormatPr baseColWidth="10" defaultRowHeight="15" customHeight="1" x14ac:dyDescent="0.15"/>
  <cols>
    <col min="1" max="1" width="13.83203125" style="7" hidden="1" customWidth="1"/>
    <col min="2" max="2" width="34.1640625" style="7" hidden="1" customWidth="1"/>
    <col min="3" max="3" width="16.6640625" style="8" customWidth="1"/>
    <col min="4" max="4" width="12" style="3" customWidth="1"/>
    <col min="5" max="6" width="10.33203125" style="3" customWidth="1"/>
    <col min="7" max="7" width="9.33203125" style="3" customWidth="1"/>
    <col min="8" max="8" width="16.6640625" style="18" customWidth="1"/>
    <col min="9" max="9" width="25" style="12" customWidth="1"/>
    <col min="10" max="10" width="17.1640625" style="15" customWidth="1"/>
    <col min="11" max="11" width="14.1640625" hidden="1" customWidth="1"/>
    <col min="12" max="12" width="18.1640625" style="19" customWidth="1"/>
    <col min="13" max="13" width="17.1640625" style="24" customWidth="1"/>
    <col min="14" max="14" width="14.6640625" style="11" customWidth="1"/>
    <col min="15" max="15" width="19.6640625" customWidth="1"/>
    <col min="16" max="16" width="15.1640625" customWidth="1"/>
    <col min="17" max="17" width="15.6640625" customWidth="1"/>
  </cols>
  <sheetData>
    <row r="1" spans="1:18" s="4" customFormat="1" ht="15" customHeight="1" x14ac:dyDescent="0.2">
      <c r="A1" s="6" t="s">
        <v>0</v>
      </c>
      <c r="B1" s="6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6" t="s">
        <v>7</v>
      </c>
      <c r="I1" s="10" t="s">
        <v>8</v>
      </c>
      <c r="J1" s="13" t="s">
        <v>9</v>
      </c>
      <c r="K1" s="5" t="s">
        <v>265</v>
      </c>
      <c r="L1" s="21" t="s">
        <v>266</v>
      </c>
      <c r="M1" s="23" t="s">
        <v>267</v>
      </c>
      <c r="N1" s="25" t="s">
        <v>268</v>
      </c>
      <c r="O1" s="22" t="s">
        <v>269</v>
      </c>
      <c r="P1" s="22" t="s">
        <v>291</v>
      </c>
      <c r="Q1" s="27" t="s">
        <v>276</v>
      </c>
      <c r="R1" s="53">
        <f>MIN(G2:G254)</f>
        <v>3.77</v>
      </c>
    </row>
    <row r="2" spans="1:18" ht="15" customHeight="1" x14ac:dyDescent="0.15">
      <c r="A2" s="7" t="s">
        <v>10</v>
      </c>
      <c r="B2" s="7" t="s">
        <v>11</v>
      </c>
      <c r="C2" s="8" t="s">
        <v>264</v>
      </c>
      <c r="D2" s="2">
        <v>4.4000000000000004</v>
      </c>
      <c r="E2" s="2">
        <v>4.4000000000000004</v>
      </c>
      <c r="F2" s="2">
        <v>4.18</v>
      </c>
      <c r="G2" s="2">
        <v>4.3</v>
      </c>
      <c r="H2" s="17">
        <v>62878</v>
      </c>
      <c r="I2" s="11">
        <v>484.96</v>
      </c>
      <c r="J2" s="14">
        <v>112782052</v>
      </c>
      <c r="K2">
        <f t="shared" ref="K2:K65" si="0">DATEVALUE(C2)</f>
        <v>45474</v>
      </c>
      <c r="L2" s="19">
        <v>0</v>
      </c>
      <c r="M2" s="24">
        <f>1000/$G$2</f>
        <v>232.55813953488374</v>
      </c>
      <c r="N2" s="11">
        <f>M2*G2</f>
        <v>1000</v>
      </c>
      <c r="O2" s="20">
        <f>(N2-1000)/1000</f>
        <v>0</v>
      </c>
      <c r="P2" s="2">
        <f>E2-F2</f>
        <v>0.22000000000000064</v>
      </c>
      <c r="Q2" s="47" t="s">
        <v>277</v>
      </c>
      <c r="R2" s="48">
        <f>MAX(G2:G254)</f>
        <v>6.46</v>
      </c>
    </row>
    <row r="3" spans="1:18" ht="15" customHeight="1" x14ac:dyDescent="0.15">
      <c r="A3" s="7" t="s">
        <v>10</v>
      </c>
      <c r="B3" s="7" t="s">
        <v>11</v>
      </c>
      <c r="C3" s="8" t="s">
        <v>263</v>
      </c>
      <c r="D3" s="2">
        <v>4.2300000000000004</v>
      </c>
      <c r="E3" s="2">
        <v>4.33</v>
      </c>
      <c r="F3" s="2">
        <v>4.2</v>
      </c>
      <c r="G3" s="2">
        <v>4.32</v>
      </c>
      <c r="H3" s="17">
        <v>74525</v>
      </c>
      <c r="I3" s="11">
        <v>487.22</v>
      </c>
      <c r="J3" s="14">
        <v>112782052</v>
      </c>
      <c r="K3">
        <f t="shared" si="0"/>
        <v>45475</v>
      </c>
      <c r="L3" s="20">
        <f>((G3/$G$2-1))</f>
        <v>4.6511627906977715E-3</v>
      </c>
      <c r="M3" s="24">
        <f t="shared" ref="M3:M66" si="1">1000/$G$2</f>
        <v>232.55813953488374</v>
      </c>
      <c r="N3" s="11">
        <f t="shared" ref="N3:N66" si="2">M3*G3</f>
        <v>1004.6511627906978</v>
      </c>
      <c r="O3" s="20">
        <f t="shared" ref="O3:O66" si="3">(N3-1000)/1000</f>
        <v>4.6511627906977542E-3</v>
      </c>
      <c r="P3" s="2">
        <f t="shared" ref="P3:P66" si="4">E3-F3</f>
        <v>0.12999999999999989</v>
      </c>
      <c r="Q3" s="47" t="s">
        <v>292</v>
      </c>
      <c r="R3" s="11">
        <f>AVERAGE(P:P)</f>
        <v>0.18701581027667996</v>
      </c>
    </row>
    <row r="4" spans="1:18" ht="15" customHeight="1" x14ac:dyDescent="0.15">
      <c r="A4" s="7" t="s">
        <v>10</v>
      </c>
      <c r="B4" s="7" t="s">
        <v>11</v>
      </c>
      <c r="C4" s="8" t="s">
        <v>262</v>
      </c>
      <c r="D4" s="2">
        <v>4.25</v>
      </c>
      <c r="E4" s="2">
        <v>4.32</v>
      </c>
      <c r="F4" s="2">
        <v>4.17</v>
      </c>
      <c r="G4" s="2">
        <v>4.18</v>
      </c>
      <c r="H4" s="17">
        <v>83095</v>
      </c>
      <c r="I4" s="11">
        <v>471.43</v>
      </c>
      <c r="J4" s="14">
        <v>112782052</v>
      </c>
      <c r="K4">
        <f t="shared" si="0"/>
        <v>45476</v>
      </c>
      <c r="L4" s="20">
        <f t="shared" ref="L4:L67" si="5">((G4/$G$2-1))</f>
        <v>-2.7906976744186074E-2</v>
      </c>
      <c r="M4" s="24">
        <f t="shared" si="1"/>
        <v>232.55813953488374</v>
      </c>
      <c r="N4" s="11">
        <f t="shared" si="2"/>
        <v>972.09302325581393</v>
      </c>
      <c r="O4" s="20">
        <f t="shared" si="3"/>
        <v>-2.7906976744186067E-2</v>
      </c>
      <c r="P4" s="2">
        <f t="shared" si="4"/>
        <v>0.15000000000000036</v>
      </c>
    </row>
    <row r="5" spans="1:18" ht="15" customHeight="1" x14ac:dyDescent="0.15">
      <c r="A5" s="7" t="s">
        <v>10</v>
      </c>
      <c r="B5" s="7" t="s">
        <v>11</v>
      </c>
      <c r="C5" s="8" t="s">
        <v>261</v>
      </c>
      <c r="D5" s="2">
        <v>4.18</v>
      </c>
      <c r="E5" s="2">
        <v>4.34</v>
      </c>
      <c r="F5" s="2">
        <v>4.13</v>
      </c>
      <c r="G5" s="2">
        <v>4.3</v>
      </c>
      <c r="H5" s="17">
        <v>95144</v>
      </c>
      <c r="I5" s="11">
        <v>484.96</v>
      </c>
      <c r="J5" s="14">
        <v>112782052</v>
      </c>
      <c r="K5">
        <f t="shared" si="0"/>
        <v>45477</v>
      </c>
      <c r="L5" s="20">
        <f t="shared" si="5"/>
        <v>0</v>
      </c>
      <c r="M5" s="24">
        <f t="shared" si="1"/>
        <v>232.55813953488374</v>
      </c>
      <c r="N5" s="11">
        <f t="shared" si="2"/>
        <v>1000</v>
      </c>
      <c r="O5" s="20">
        <f t="shared" si="3"/>
        <v>0</v>
      </c>
      <c r="P5" s="2">
        <f t="shared" si="4"/>
        <v>0.20999999999999996</v>
      </c>
    </row>
    <row r="6" spans="1:18" ht="15" customHeight="1" x14ac:dyDescent="0.15">
      <c r="A6" s="7" t="s">
        <v>10</v>
      </c>
      <c r="B6" s="7" t="s">
        <v>11</v>
      </c>
      <c r="C6" s="8" t="s">
        <v>260</v>
      </c>
      <c r="D6" s="2">
        <v>4.28</v>
      </c>
      <c r="E6" s="2">
        <v>4.3</v>
      </c>
      <c r="F6" s="2">
        <v>4.13</v>
      </c>
      <c r="G6" s="2">
        <v>4.22</v>
      </c>
      <c r="H6" s="17">
        <v>167937</v>
      </c>
      <c r="I6" s="11">
        <v>475.94</v>
      </c>
      <c r="J6" s="14">
        <v>112782052</v>
      </c>
      <c r="K6">
        <f t="shared" si="0"/>
        <v>45478</v>
      </c>
      <c r="L6" s="20">
        <f t="shared" si="5"/>
        <v>-1.8604651162790753E-2</v>
      </c>
      <c r="M6" s="24">
        <f t="shared" si="1"/>
        <v>232.55813953488374</v>
      </c>
      <c r="N6" s="11">
        <f t="shared" si="2"/>
        <v>981.39534883720933</v>
      </c>
      <c r="O6" s="20">
        <f t="shared" si="3"/>
        <v>-1.8604651162790673E-2</v>
      </c>
      <c r="P6" s="2">
        <f t="shared" si="4"/>
        <v>0.16999999999999993</v>
      </c>
    </row>
    <row r="7" spans="1:18" ht="15" customHeight="1" x14ac:dyDescent="0.15">
      <c r="A7" s="7" t="s">
        <v>10</v>
      </c>
      <c r="B7" s="7" t="s">
        <v>11</v>
      </c>
      <c r="C7" s="8" t="s">
        <v>259</v>
      </c>
      <c r="D7" s="2">
        <v>4.18</v>
      </c>
      <c r="E7" s="2">
        <v>4.28</v>
      </c>
      <c r="F7" s="2">
        <v>4.17</v>
      </c>
      <c r="G7" s="2">
        <v>4.25</v>
      </c>
      <c r="H7" s="17">
        <v>99526</v>
      </c>
      <c r="I7" s="11">
        <v>479.32</v>
      </c>
      <c r="J7" s="14">
        <v>112782052</v>
      </c>
      <c r="K7">
        <f t="shared" si="0"/>
        <v>45481</v>
      </c>
      <c r="L7" s="20">
        <f t="shared" si="5"/>
        <v>-1.1627906976744096E-2</v>
      </c>
      <c r="M7" s="24">
        <f t="shared" si="1"/>
        <v>232.55813953488374</v>
      </c>
      <c r="N7" s="11">
        <f t="shared" si="2"/>
        <v>988.37209302325584</v>
      </c>
      <c r="O7" s="20">
        <f t="shared" si="3"/>
        <v>-1.1627906976744156E-2</v>
      </c>
      <c r="P7" s="2">
        <f t="shared" si="4"/>
        <v>0.11000000000000032</v>
      </c>
    </row>
    <row r="8" spans="1:18" ht="15" customHeight="1" x14ac:dyDescent="0.15">
      <c r="A8" s="7" t="s">
        <v>10</v>
      </c>
      <c r="B8" s="7" t="s">
        <v>11</v>
      </c>
      <c r="C8" s="8" t="s">
        <v>258</v>
      </c>
      <c r="D8" s="2">
        <v>4.2699999999999996</v>
      </c>
      <c r="E8" s="2">
        <v>4.2699999999999996</v>
      </c>
      <c r="F8" s="2">
        <v>4</v>
      </c>
      <c r="G8" s="2">
        <v>4</v>
      </c>
      <c r="H8" s="17">
        <v>145389</v>
      </c>
      <c r="I8" s="11">
        <v>451.13</v>
      </c>
      <c r="J8" s="14">
        <v>112782052</v>
      </c>
      <c r="K8">
        <f t="shared" si="0"/>
        <v>45482</v>
      </c>
      <c r="L8" s="20">
        <f t="shared" si="5"/>
        <v>-6.9767441860465129E-2</v>
      </c>
      <c r="M8" s="24">
        <f t="shared" si="1"/>
        <v>232.55813953488374</v>
      </c>
      <c r="N8" s="11">
        <f t="shared" si="2"/>
        <v>930.23255813953494</v>
      </c>
      <c r="O8" s="20">
        <f t="shared" si="3"/>
        <v>-6.976744186046506E-2</v>
      </c>
      <c r="P8" s="2">
        <f t="shared" si="4"/>
        <v>0.26999999999999957</v>
      </c>
    </row>
    <row r="9" spans="1:18" ht="15" customHeight="1" x14ac:dyDescent="0.15">
      <c r="A9" s="7" t="s">
        <v>10</v>
      </c>
      <c r="B9" s="7" t="s">
        <v>11</v>
      </c>
      <c r="C9" s="8" t="s">
        <v>257</v>
      </c>
      <c r="D9" s="2">
        <v>4.01</v>
      </c>
      <c r="E9" s="2">
        <v>4.2</v>
      </c>
      <c r="F9" s="2">
        <v>3.91</v>
      </c>
      <c r="G9" s="2">
        <v>4.1399999999999997</v>
      </c>
      <c r="H9" s="17">
        <v>148273</v>
      </c>
      <c r="I9" s="11">
        <v>466.92</v>
      </c>
      <c r="J9" s="14">
        <v>112782052</v>
      </c>
      <c r="K9">
        <f t="shared" si="0"/>
        <v>45483</v>
      </c>
      <c r="L9" s="20">
        <f t="shared" si="5"/>
        <v>-3.7209302325581395E-2</v>
      </c>
      <c r="M9" s="24">
        <f t="shared" si="1"/>
        <v>232.55813953488374</v>
      </c>
      <c r="N9" s="11">
        <f t="shared" si="2"/>
        <v>962.79069767441854</v>
      </c>
      <c r="O9" s="20">
        <f t="shared" si="3"/>
        <v>-3.7209302325581464E-2</v>
      </c>
      <c r="P9" s="2">
        <f t="shared" si="4"/>
        <v>0.29000000000000004</v>
      </c>
    </row>
    <row r="10" spans="1:18" ht="15" customHeight="1" x14ac:dyDescent="0.15">
      <c r="A10" s="7" t="s">
        <v>10</v>
      </c>
      <c r="B10" s="7" t="s">
        <v>11</v>
      </c>
      <c r="C10" s="8" t="s">
        <v>256</v>
      </c>
      <c r="D10" s="2">
        <v>4.1399999999999997</v>
      </c>
      <c r="E10" s="2">
        <v>4.2699999999999996</v>
      </c>
      <c r="F10" s="2">
        <v>4.01</v>
      </c>
      <c r="G10" s="2">
        <v>4.1399999999999997</v>
      </c>
      <c r="H10" s="17">
        <v>235468</v>
      </c>
      <c r="I10" s="11">
        <v>466.92</v>
      </c>
      <c r="J10" s="14">
        <v>112782052</v>
      </c>
      <c r="K10">
        <f t="shared" si="0"/>
        <v>45484</v>
      </c>
      <c r="L10" s="20">
        <f t="shared" si="5"/>
        <v>-3.7209302325581395E-2</v>
      </c>
      <c r="M10" s="24">
        <f t="shared" si="1"/>
        <v>232.55813953488374</v>
      </c>
      <c r="N10" s="11">
        <f t="shared" si="2"/>
        <v>962.79069767441854</v>
      </c>
      <c r="O10" s="20">
        <f t="shared" si="3"/>
        <v>-3.7209302325581464E-2</v>
      </c>
      <c r="P10" s="2">
        <f t="shared" si="4"/>
        <v>0.25999999999999979</v>
      </c>
    </row>
    <row r="11" spans="1:18" ht="15" customHeight="1" x14ac:dyDescent="0.15">
      <c r="A11" s="7" t="s">
        <v>10</v>
      </c>
      <c r="B11" s="7" t="s">
        <v>11</v>
      </c>
      <c r="C11" s="8" t="s">
        <v>255</v>
      </c>
      <c r="D11" s="2">
        <v>4.0599999999999996</v>
      </c>
      <c r="E11" s="2">
        <v>4.17</v>
      </c>
      <c r="F11" s="2">
        <v>4.03</v>
      </c>
      <c r="G11" s="2">
        <v>4.1100000000000003</v>
      </c>
      <c r="H11" s="17">
        <v>88370</v>
      </c>
      <c r="I11" s="11">
        <v>463.53</v>
      </c>
      <c r="J11" s="14">
        <v>112782052</v>
      </c>
      <c r="K11">
        <f t="shared" si="0"/>
        <v>45485</v>
      </c>
      <c r="L11" s="20">
        <f t="shared" si="5"/>
        <v>-4.418604651162783E-2</v>
      </c>
      <c r="M11" s="24">
        <f t="shared" si="1"/>
        <v>232.55813953488374</v>
      </c>
      <c r="N11" s="11">
        <f t="shared" si="2"/>
        <v>955.81395348837225</v>
      </c>
      <c r="O11" s="20">
        <f t="shared" si="3"/>
        <v>-4.4186046511627754E-2</v>
      </c>
      <c r="P11" s="2">
        <f t="shared" si="4"/>
        <v>0.13999999999999968</v>
      </c>
    </row>
    <row r="12" spans="1:18" ht="15" customHeight="1" x14ac:dyDescent="0.15">
      <c r="A12" s="7" t="s">
        <v>10</v>
      </c>
      <c r="B12" s="7" t="s">
        <v>11</v>
      </c>
      <c r="C12" s="8" t="s">
        <v>254</v>
      </c>
      <c r="D12" s="2">
        <v>4.0199999999999996</v>
      </c>
      <c r="E12" s="2">
        <v>4.12</v>
      </c>
      <c r="F12" s="2">
        <v>4</v>
      </c>
      <c r="G12" s="2">
        <v>4.0599999999999996</v>
      </c>
      <c r="H12" s="17">
        <v>121858</v>
      </c>
      <c r="I12" s="11">
        <v>457.9</v>
      </c>
      <c r="J12" s="14">
        <v>112782052</v>
      </c>
      <c r="K12">
        <f t="shared" si="0"/>
        <v>45488</v>
      </c>
      <c r="L12" s="20">
        <f t="shared" si="5"/>
        <v>-5.5813953488372148E-2</v>
      </c>
      <c r="M12" s="24">
        <f t="shared" si="1"/>
        <v>232.55813953488374</v>
      </c>
      <c r="N12" s="11">
        <f t="shared" si="2"/>
        <v>944.18604651162786</v>
      </c>
      <c r="O12" s="20">
        <f t="shared" si="3"/>
        <v>-5.5813953488372134E-2</v>
      </c>
      <c r="P12" s="2">
        <f t="shared" si="4"/>
        <v>0.12000000000000011</v>
      </c>
    </row>
    <row r="13" spans="1:18" ht="15" customHeight="1" x14ac:dyDescent="0.15">
      <c r="A13" s="7" t="s">
        <v>10</v>
      </c>
      <c r="B13" s="7" t="s">
        <v>11</v>
      </c>
      <c r="C13" s="8" t="s">
        <v>253</v>
      </c>
      <c r="D13" s="2">
        <v>4.05</v>
      </c>
      <c r="E13" s="2">
        <v>4.24</v>
      </c>
      <c r="F13" s="2">
        <v>3.96</v>
      </c>
      <c r="G13" s="2">
        <v>4.21</v>
      </c>
      <c r="H13" s="17">
        <v>82940</v>
      </c>
      <c r="I13" s="11">
        <v>474.81</v>
      </c>
      <c r="J13" s="14">
        <v>112782052</v>
      </c>
      <c r="K13">
        <f t="shared" si="0"/>
        <v>45489</v>
      </c>
      <c r="L13" s="20">
        <f t="shared" si="5"/>
        <v>-2.0930232558139528E-2</v>
      </c>
      <c r="M13" s="24">
        <f t="shared" si="1"/>
        <v>232.55813953488374</v>
      </c>
      <c r="N13" s="11">
        <f t="shared" si="2"/>
        <v>979.06976744186056</v>
      </c>
      <c r="O13" s="20">
        <f t="shared" si="3"/>
        <v>-2.0930232558139437E-2</v>
      </c>
      <c r="P13" s="2">
        <f t="shared" si="4"/>
        <v>0.28000000000000025</v>
      </c>
    </row>
    <row r="14" spans="1:18" ht="15" customHeight="1" x14ac:dyDescent="0.15">
      <c r="A14" s="7" t="s">
        <v>10</v>
      </c>
      <c r="B14" s="7" t="s">
        <v>11</v>
      </c>
      <c r="C14" s="8" t="s">
        <v>252</v>
      </c>
      <c r="D14" s="2">
        <v>4.2</v>
      </c>
      <c r="E14" s="2">
        <v>4.33</v>
      </c>
      <c r="F14" s="2">
        <v>4.1900000000000004</v>
      </c>
      <c r="G14" s="2">
        <v>4.2699999999999996</v>
      </c>
      <c r="H14" s="17">
        <v>59114</v>
      </c>
      <c r="I14" s="11">
        <v>481.58</v>
      </c>
      <c r="J14" s="14">
        <v>112782052</v>
      </c>
      <c r="K14">
        <f t="shared" si="0"/>
        <v>45490</v>
      </c>
      <c r="L14" s="20">
        <f t="shared" si="5"/>
        <v>-6.9767441860465462E-3</v>
      </c>
      <c r="M14" s="24">
        <f t="shared" si="1"/>
        <v>232.55813953488374</v>
      </c>
      <c r="N14" s="11">
        <f t="shared" si="2"/>
        <v>993.02325581395348</v>
      </c>
      <c r="O14" s="20">
        <f t="shared" si="3"/>
        <v>-6.9767441860465167E-3</v>
      </c>
      <c r="P14" s="2">
        <f t="shared" si="4"/>
        <v>0.13999999999999968</v>
      </c>
    </row>
    <row r="15" spans="1:18" ht="15" customHeight="1" x14ac:dyDescent="0.15">
      <c r="A15" s="7" t="s">
        <v>10</v>
      </c>
      <c r="B15" s="7" t="s">
        <v>11</v>
      </c>
      <c r="C15" s="8" t="s">
        <v>251</v>
      </c>
      <c r="D15" s="2">
        <v>4.21</v>
      </c>
      <c r="E15" s="2">
        <v>4.26</v>
      </c>
      <c r="F15" s="2">
        <v>4.1500000000000004</v>
      </c>
      <c r="G15" s="2">
        <v>4.22</v>
      </c>
      <c r="H15" s="17">
        <v>55718</v>
      </c>
      <c r="I15" s="11">
        <v>475.94</v>
      </c>
      <c r="J15" s="14">
        <v>112782052</v>
      </c>
      <c r="K15">
        <f t="shared" si="0"/>
        <v>45491</v>
      </c>
      <c r="L15" s="20">
        <f t="shared" si="5"/>
        <v>-1.8604651162790753E-2</v>
      </c>
      <c r="M15" s="24">
        <f t="shared" si="1"/>
        <v>232.55813953488374</v>
      </c>
      <c r="N15" s="11">
        <f t="shared" si="2"/>
        <v>981.39534883720933</v>
      </c>
      <c r="O15" s="20">
        <f t="shared" si="3"/>
        <v>-1.8604651162790673E-2</v>
      </c>
      <c r="P15" s="2">
        <f t="shared" si="4"/>
        <v>0.10999999999999943</v>
      </c>
    </row>
    <row r="16" spans="1:18" ht="15" customHeight="1" x14ac:dyDescent="0.15">
      <c r="A16" s="7" t="s">
        <v>10</v>
      </c>
      <c r="B16" s="7" t="s">
        <v>11</v>
      </c>
      <c r="C16" s="8" t="s">
        <v>250</v>
      </c>
      <c r="D16" s="2">
        <v>4.1500000000000004</v>
      </c>
      <c r="E16" s="2">
        <v>4.2</v>
      </c>
      <c r="F16" s="2">
        <v>4.07</v>
      </c>
      <c r="G16" s="2">
        <v>4.1399999999999997</v>
      </c>
      <c r="H16" s="17">
        <v>86915</v>
      </c>
      <c r="I16" s="11">
        <v>466.92</v>
      </c>
      <c r="J16" s="14">
        <v>112782052</v>
      </c>
      <c r="K16">
        <f t="shared" si="0"/>
        <v>45492</v>
      </c>
      <c r="L16" s="20">
        <f t="shared" si="5"/>
        <v>-3.7209302325581395E-2</v>
      </c>
      <c r="M16" s="24">
        <f t="shared" si="1"/>
        <v>232.55813953488374</v>
      </c>
      <c r="N16" s="11">
        <f t="shared" si="2"/>
        <v>962.79069767441854</v>
      </c>
      <c r="O16" s="20">
        <f t="shared" si="3"/>
        <v>-3.7209302325581464E-2</v>
      </c>
      <c r="P16" s="2">
        <f t="shared" si="4"/>
        <v>0.12999999999999989</v>
      </c>
    </row>
    <row r="17" spans="1:16" ht="15" customHeight="1" x14ac:dyDescent="0.15">
      <c r="A17" s="7" t="s">
        <v>10</v>
      </c>
      <c r="B17" s="7" t="s">
        <v>11</v>
      </c>
      <c r="C17" s="8" t="s">
        <v>249</v>
      </c>
      <c r="D17" s="2">
        <v>4.13</v>
      </c>
      <c r="E17" s="2">
        <v>4.1399999999999997</v>
      </c>
      <c r="F17" s="2">
        <v>4.0199999999999996</v>
      </c>
      <c r="G17" s="2">
        <v>4.1100000000000003</v>
      </c>
      <c r="H17" s="17">
        <v>106191</v>
      </c>
      <c r="I17" s="11">
        <v>463.53</v>
      </c>
      <c r="J17" s="14">
        <v>112782052</v>
      </c>
      <c r="K17">
        <f t="shared" si="0"/>
        <v>45495</v>
      </c>
      <c r="L17" s="20">
        <f t="shared" si="5"/>
        <v>-4.418604651162783E-2</v>
      </c>
      <c r="M17" s="24">
        <f t="shared" si="1"/>
        <v>232.55813953488374</v>
      </c>
      <c r="N17" s="11">
        <f t="shared" si="2"/>
        <v>955.81395348837225</v>
      </c>
      <c r="O17" s="20">
        <f t="shared" si="3"/>
        <v>-4.4186046511627754E-2</v>
      </c>
      <c r="P17" s="2">
        <f t="shared" si="4"/>
        <v>0.12000000000000011</v>
      </c>
    </row>
    <row r="18" spans="1:16" ht="15" customHeight="1" x14ac:dyDescent="0.15">
      <c r="A18" s="7" t="s">
        <v>10</v>
      </c>
      <c r="B18" s="7" t="s">
        <v>11</v>
      </c>
      <c r="C18" s="8" t="s">
        <v>248</v>
      </c>
      <c r="D18" s="2">
        <v>4.12</v>
      </c>
      <c r="E18" s="2">
        <v>4.2</v>
      </c>
      <c r="F18" s="2">
        <v>4.03</v>
      </c>
      <c r="G18" s="2">
        <v>4.05</v>
      </c>
      <c r="H18" s="17">
        <v>54606</v>
      </c>
      <c r="I18" s="11">
        <v>456.77</v>
      </c>
      <c r="J18" s="14">
        <v>112782052</v>
      </c>
      <c r="K18">
        <f t="shared" si="0"/>
        <v>45496</v>
      </c>
      <c r="L18" s="20">
        <f t="shared" si="5"/>
        <v>-5.8139534883720922E-2</v>
      </c>
      <c r="M18" s="24">
        <f t="shared" si="1"/>
        <v>232.55813953488374</v>
      </c>
      <c r="N18" s="11">
        <f t="shared" si="2"/>
        <v>941.8604651162791</v>
      </c>
      <c r="O18" s="20">
        <f t="shared" si="3"/>
        <v>-5.8139534883720902E-2</v>
      </c>
      <c r="P18" s="2">
        <f t="shared" si="4"/>
        <v>0.16999999999999993</v>
      </c>
    </row>
    <row r="19" spans="1:16" ht="15" customHeight="1" x14ac:dyDescent="0.15">
      <c r="A19" s="7" t="s">
        <v>10</v>
      </c>
      <c r="B19" s="7" t="s">
        <v>11</v>
      </c>
      <c r="C19" s="8" t="s">
        <v>247</v>
      </c>
      <c r="D19" s="2">
        <v>4.04</v>
      </c>
      <c r="E19" s="2">
        <v>4.18</v>
      </c>
      <c r="F19" s="2">
        <v>4.04</v>
      </c>
      <c r="G19" s="2">
        <v>4.1399999999999997</v>
      </c>
      <c r="H19" s="17">
        <v>73551</v>
      </c>
      <c r="I19" s="11">
        <v>466.92</v>
      </c>
      <c r="J19" s="14">
        <v>112782052</v>
      </c>
      <c r="K19">
        <f t="shared" si="0"/>
        <v>45497</v>
      </c>
      <c r="L19" s="20">
        <f t="shared" si="5"/>
        <v>-3.7209302325581395E-2</v>
      </c>
      <c r="M19" s="24">
        <f t="shared" si="1"/>
        <v>232.55813953488374</v>
      </c>
      <c r="N19" s="11">
        <f t="shared" si="2"/>
        <v>962.79069767441854</v>
      </c>
      <c r="O19" s="20">
        <f t="shared" si="3"/>
        <v>-3.7209302325581464E-2</v>
      </c>
      <c r="P19" s="2">
        <f t="shared" si="4"/>
        <v>0.13999999999999968</v>
      </c>
    </row>
    <row r="20" spans="1:16" ht="15" customHeight="1" x14ac:dyDescent="0.15">
      <c r="A20" s="7" t="s">
        <v>10</v>
      </c>
      <c r="B20" s="7" t="s">
        <v>11</v>
      </c>
      <c r="C20" s="8" t="s">
        <v>246</v>
      </c>
      <c r="D20" s="2">
        <v>4.05</v>
      </c>
      <c r="E20" s="2">
        <v>4.13</v>
      </c>
      <c r="F20" s="2">
        <v>3.93</v>
      </c>
      <c r="G20" s="2">
        <v>4.0599999999999996</v>
      </c>
      <c r="H20" s="17">
        <v>125652</v>
      </c>
      <c r="I20" s="11">
        <v>457.9</v>
      </c>
      <c r="J20" s="14">
        <v>112782052</v>
      </c>
      <c r="K20">
        <f t="shared" si="0"/>
        <v>45498</v>
      </c>
      <c r="L20" s="20">
        <f t="shared" si="5"/>
        <v>-5.5813953488372148E-2</v>
      </c>
      <c r="M20" s="24">
        <f t="shared" si="1"/>
        <v>232.55813953488374</v>
      </c>
      <c r="N20" s="11">
        <f t="shared" si="2"/>
        <v>944.18604651162786</v>
      </c>
      <c r="O20" s="20">
        <f t="shared" si="3"/>
        <v>-5.5813953488372134E-2</v>
      </c>
      <c r="P20" s="2">
        <f t="shared" si="4"/>
        <v>0.19999999999999973</v>
      </c>
    </row>
    <row r="21" spans="1:16" ht="15" customHeight="1" x14ac:dyDescent="0.15">
      <c r="A21" s="7" t="s">
        <v>10</v>
      </c>
      <c r="B21" s="7" t="s">
        <v>11</v>
      </c>
      <c r="C21" s="8" t="s">
        <v>245</v>
      </c>
      <c r="D21" s="2">
        <v>4.0599999999999996</v>
      </c>
      <c r="E21" s="2">
        <v>4.13</v>
      </c>
      <c r="F21" s="2">
        <v>4.03</v>
      </c>
      <c r="G21" s="2">
        <v>4.03</v>
      </c>
      <c r="H21" s="17">
        <v>40037</v>
      </c>
      <c r="I21" s="11">
        <v>454.51</v>
      </c>
      <c r="J21" s="14">
        <v>112782052</v>
      </c>
      <c r="K21">
        <f t="shared" si="0"/>
        <v>45499</v>
      </c>
      <c r="L21" s="20">
        <f t="shared" si="5"/>
        <v>-6.2790697674418472E-2</v>
      </c>
      <c r="M21" s="24">
        <f t="shared" si="1"/>
        <v>232.55813953488374</v>
      </c>
      <c r="N21" s="11">
        <f t="shared" si="2"/>
        <v>937.20930232558146</v>
      </c>
      <c r="O21" s="20">
        <f t="shared" si="3"/>
        <v>-6.2790697674418541E-2</v>
      </c>
      <c r="P21" s="2">
        <f t="shared" si="4"/>
        <v>9.9999999999999645E-2</v>
      </c>
    </row>
    <row r="22" spans="1:16" ht="15" customHeight="1" x14ac:dyDescent="0.15">
      <c r="A22" s="7" t="s">
        <v>10</v>
      </c>
      <c r="B22" s="7" t="s">
        <v>11</v>
      </c>
      <c r="C22" s="8" t="s">
        <v>244</v>
      </c>
      <c r="D22" s="2">
        <v>4.05</v>
      </c>
      <c r="E22" s="2">
        <v>4.07</v>
      </c>
      <c r="F22" s="2">
        <v>3.96</v>
      </c>
      <c r="G22" s="2">
        <v>3.97</v>
      </c>
      <c r="H22" s="17">
        <v>48934</v>
      </c>
      <c r="I22" s="11">
        <v>447.74</v>
      </c>
      <c r="J22" s="14">
        <v>112782052</v>
      </c>
      <c r="K22">
        <f t="shared" si="0"/>
        <v>45502</v>
      </c>
      <c r="L22" s="20">
        <f t="shared" si="5"/>
        <v>-7.6744186046511564E-2</v>
      </c>
      <c r="M22" s="24">
        <f t="shared" si="1"/>
        <v>232.55813953488374</v>
      </c>
      <c r="N22" s="11">
        <f t="shared" si="2"/>
        <v>923.25581395348843</v>
      </c>
      <c r="O22" s="20">
        <f t="shared" si="3"/>
        <v>-7.6744186046511578E-2</v>
      </c>
      <c r="P22" s="2">
        <f t="shared" si="4"/>
        <v>0.11000000000000032</v>
      </c>
    </row>
    <row r="23" spans="1:16" ht="15" customHeight="1" x14ac:dyDescent="0.15">
      <c r="A23" s="7" t="s">
        <v>10</v>
      </c>
      <c r="B23" s="7" t="s">
        <v>11</v>
      </c>
      <c r="C23" s="8" t="s">
        <v>243</v>
      </c>
      <c r="D23" s="2">
        <v>3.91</v>
      </c>
      <c r="E23" s="2">
        <v>3.97</v>
      </c>
      <c r="F23" s="2">
        <v>3.89</v>
      </c>
      <c r="G23" s="2">
        <v>3.89</v>
      </c>
      <c r="H23" s="17">
        <v>61078</v>
      </c>
      <c r="I23" s="11">
        <v>438.72</v>
      </c>
      <c r="J23" s="14">
        <v>112782052</v>
      </c>
      <c r="K23">
        <f t="shared" si="0"/>
        <v>45503</v>
      </c>
      <c r="L23" s="20">
        <f t="shared" si="5"/>
        <v>-9.5348837209302206E-2</v>
      </c>
      <c r="M23" s="24">
        <f t="shared" si="1"/>
        <v>232.55813953488374</v>
      </c>
      <c r="N23" s="11">
        <f t="shared" si="2"/>
        <v>904.65116279069775</v>
      </c>
      <c r="O23" s="20">
        <f t="shared" si="3"/>
        <v>-9.5348837209302248E-2</v>
      </c>
      <c r="P23" s="2">
        <f t="shared" si="4"/>
        <v>8.0000000000000071E-2</v>
      </c>
    </row>
    <row r="24" spans="1:16" ht="15" customHeight="1" x14ac:dyDescent="0.15">
      <c r="A24" s="7" t="s">
        <v>10</v>
      </c>
      <c r="B24" s="7" t="s">
        <v>11</v>
      </c>
      <c r="C24" s="8" t="s">
        <v>242</v>
      </c>
      <c r="D24" s="2">
        <v>3.93</v>
      </c>
      <c r="E24" s="2">
        <v>4</v>
      </c>
      <c r="F24" s="2">
        <v>3.9</v>
      </c>
      <c r="G24" s="2">
        <v>3.98</v>
      </c>
      <c r="H24" s="17">
        <v>93388</v>
      </c>
      <c r="I24" s="11">
        <v>448.87</v>
      </c>
      <c r="J24" s="14">
        <v>112782052</v>
      </c>
      <c r="K24">
        <f t="shared" si="0"/>
        <v>45504</v>
      </c>
      <c r="L24" s="20">
        <f t="shared" si="5"/>
        <v>-7.441860465116279E-2</v>
      </c>
      <c r="M24" s="24">
        <f t="shared" si="1"/>
        <v>232.55813953488374</v>
      </c>
      <c r="N24" s="11">
        <f t="shared" si="2"/>
        <v>925.5813953488373</v>
      </c>
      <c r="O24" s="20">
        <f t="shared" si="3"/>
        <v>-7.4418604651162693E-2</v>
      </c>
      <c r="P24" s="2">
        <f t="shared" si="4"/>
        <v>0.10000000000000009</v>
      </c>
    </row>
    <row r="25" spans="1:16" ht="15" customHeight="1" x14ac:dyDescent="0.15">
      <c r="A25" s="7" t="s">
        <v>10</v>
      </c>
      <c r="B25" s="7" t="s">
        <v>11</v>
      </c>
      <c r="C25" s="8" t="s">
        <v>241</v>
      </c>
      <c r="D25" s="2">
        <v>4</v>
      </c>
      <c r="E25" s="2">
        <v>4.1399999999999997</v>
      </c>
      <c r="F25" s="2">
        <v>4</v>
      </c>
      <c r="G25" s="2">
        <v>4.1100000000000003</v>
      </c>
      <c r="H25" s="17">
        <v>111706</v>
      </c>
      <c r="I25" s="11">
        <v>463.53</v>
      </c>
      <c r="J25" s="14">
        <v>112782052</v>
      </c>
      <c r="K25">
        <f t="shared" si="0"/>
        <v>45505</v>
      </c>
      <c r="L25" s="20">
        <f t="shared" si="5"/>
        <v>-4.418604651162783E-2</v>
      </c>
      <c r="M25" s="24">
        <f t="shared" si="1"/>
        <v>232.55813953488374</v>
      </c>
      <c r="N25" s="11">
        <f t="shared" si="2"/>
        <v>955.81395348837225</v>
      </c>
      <c r="O25" s="20">
        <f t="shared" si="3"/>
        <v>-4.4186046511627754E-2</v>
      </c>
      <c r="P25" s="2">
        <f t="shared" si="4"/>
        <v>0.13999999999999968</v>
      </c>
    </row>
    <row r="26" spans="1:16" ht="15" customHeight="1" x14ac:dyDescent="0.15">
      <c r="A26" s="7" t="s">
        <v>10</v>
      </c>
      <c r="B26" s="7" t="s">
        <v>11</v>
      </c>
      <c r="C26" s="8" t="s">
        <v>240</v>
      </c>
      <c r="D26" s="2">
        <v>4.09</v>
      </c>
      <c r="E26" s="2">
        <v>4.09</v>
      </c>
      <c r="F26" s="2">
        <v>3.78</v>
      </c>
      <c r="G26" s="2">
        <v>3.85</v>
      </c>
      <c r="H26" s="17">
        <v>188834</v>
      </c>
      <c r="I26" s="11">
        <v>434.21</v>
      </c>
      <c r="J26" s="14">
        <v>112782052</v>
      </c>
      <c r="K26">
        <f t="shared" si="0"/>
        <v>45506</v>
      </c>
      <c r="L26" s="20">
        <f t="shared" si="5"/>
        <v>-0.10465116279069764</v>
      </c>
      <c r="M26" s="24">
        <f t="shared" si="1"/>
        <v>232.55813953488374</v>
      </c>
      <c r="N26" s="11">
        <f t="shared" si="2"/>
        <v>895.34883720930236</v>
      </c>
      <c r="O26" s="20">
        <f t="shared" si="3"/>
        <v>-0.10465116279069764</v>
      </c>
      <c r="P26" s="2">
        <f t="shared" si="4"/>
        <v>0.31000000000000005</v>
      </c>
    </row>
    <row r="27" spans="1:16" ht="15" customHeight="1" x14ac:dyDescent="0.15">
      <c r="A27" s="7" t="s">
        <v>10</v>
      </c>
      <c r="B27" s="7" t="s">
        <v>11</v>
      </c>
      <c r="C27" s="8" t="s">
        <v>239</v>
      </c>
      <c r="D27" s="2">
        <v>3.8</v>
      </c>
      <c r="E27" s="2">
        <v>3.84</v>
      </c>
      <c r="F27" s="2">
        <v>3.63</v>
      </c>
      <c r="G27" s="2">
        <v>3.8</v>
      </c>
      <c r="H27" s="17">
        <v>177266</v>
      </c>
      <c r="I27" s="11">
        <v>428.57</v>
      </c>
      <c r="J27" s="14">
        <v>112782052</v>
      </c>
      <c r="K27">
        <f t="shared" si="0"/>
        <v>45509</v>
      </c>
      <c r="L27" s="20">
        <f t="shared" si="5"/>
        <v>-0.11627906976744184</v>
      </c>
      <c r="M27" s="24">
        <f t="shared" si="1"/>
        <v>232.55813953488374</v>
      </c>
      <c r="N27" s="11">
        <f t="shared" si="2"/>
        <v>883.7209302325582</v>
      </c>
      <c r="O27" s="20">
        <f t="shared" si="3"/>
        <v>-0.1162790697674418</v>
      </c>
      <c r="P27" s="2">
        <f t="shared" si="4"/>
        <v>0.20999999999999996</v>
      </c>
    </row>
    <row r="28" spans="1:16" ht="15" customHeight="1" x14ac:dyDescent="0.15">
      <c r="A28" s="7" t="s">
        <v>10</v>
      </c>
      <c r="B28" s="7" t="s">
        <v>11</v>
      </c>
      <c r="C28" s="8" t="s">
        <v>238</v>
      </c>
      <c r="D28" s="2">
        <v>3.75</v>
      </c>
      <c r="E28" s="2">
        <v>3.95</v>
      </c>
      <c r="F28" s="2">
        <v>3.7</v>
      </c>
      <c r="G28" s="2">
        <v>3.95</v>
      </c>
      <c r="H28" s="17">
        <v>187731</v>
      </c>
      <c r="I28" s="11">
        <v>445.49</v>
      </c>
      <c r="J28" s="14">
        <v>112782052</v>
      </c>
      <c r="K28">
        <f t="shared" si="0"/>
        <v>45510</v>
      </c>
      <c r="L28" s="20">
        <f t="shared" si="5"/>
        <v>-8.1395348837209225E-2</v>
      </c>
      <c r="M28" s="24">
        <f t="shared" si="1"/>
        <v>232.55813953488374</v>
      </c>
      <c r="N28" s="11">
        <f t="shared" si="2"/>
        <v>918.60465116279079</v>
      </c>
      <c r="O28" s="20">
        <f t="shared" si="3"/>
        <v>-8.1395348837209211E-2</v>
      </c>
      <c r="P28" s="2">
        <f t="shared" si="4"/>
        <v>0.25</v>
      </c>
    </row>
    <row r="29" spans="1:16" ht="15" customHeight="1" x14ac:dyDescent="0.15">
      <c r="A29" s="7" t="s">
        <v>10</v>
      </c>
      <c r="B29" s="7" t="s">
        <v>11</v>
      </c>
      <c r="C29" s="8" t="s">
        <v>237</v>
      </c>
      <c r="D29" s="2">
        <v>4</v>
      </c>
      <c r="E29" s="2">
        <v>4</v>
      </c>
      <c r="F29" s="2">
        <v>3.79</v>
      </c>
      <c r="G29" s="2">
        <v>3.8</v>
      </c>
      <c r="H29" s="17">
        <v>149239</v>
      </c>
      <c r="I29" s="11">
        <v>428.57</v>
      </c>
      <c r="J29" s="14">
        <v>112782052</v>
      </c>
      <c r="K29">
        <f t="shared" si="0"/>
        <v>45511</v>
      </c>
      <c r="L29" s="20">
        <f t="shared" si="5"/>
        <v>-0.11627906976744184</v>
      </c>
      <c r="M29" s="24">
        <f t="shared" si="1"/>
        <v>232.55813953488374</v>
      </c>
      <c r="N29" s="11">
        <f t="shared" si="2"/>
        <v>883.7209302325582</v>
      </c>
      <c r="O29" s="20">
        <f t="shared" si="3"/>
        <v>-0.1162790697674418</v>
      </c>
      <c r="P29" s="2">
        <f t="shared" si="4"/>
        <v>0.20999999999999996</v>
      </c>
    </row>
    <row r="30" spans="1:16" ht="15" customHeight="1" x14ac:dyDescent="0.15">
      <c r="A30" s="7" t="s">
        <v>10</v>
      </c>
      <c r="B30" s="7" t="s">
        <v>11</v>
      </c>
      <c r="C30" s="8" t="s">
        <v>236</v>
      </c>
      <c r="D30" s="2">
        <v>3.82</v>
      </c>
      <c r="E30" s="2">
        <v>3.85</v>
      </c>
      <c r="F30" s="2">
        <v>3.71</v>
      </c>
      <c r="G30" s="2">
        <v>3.8</v>
      </c>
      <c r="H30" s="17">
        <v>115598</v>
      </c>
      <c r="I30" s="11">
        <v>428.57</v>
      </c>
      <c r="J30" s="14">
        <v>112782052</v>
      </c>
      <c r="K30">
        <f t="shared" si="0"/>
        <v>45512</v>
      </c>
      <c r="L30" s="20">
        <f t="shared" si="5"/>
        <v>-0.11627906976744184</v>
      </c>
      <c r="M30" s="24">
        <f t="shared" si="1"/>
        <v>232.55813953488374</v>
      </c>
      <c r="N30" s="11">
        <f t="shared" si="2"/>
        <v>883.7209302325582</v>
      </c>
      <c r="O30" s="20">
        <f t="shared" si="3"/>
        <v>-0.1162790697674418</v>
      </c>
      <c r="P30" s="2">
        <f t="shared" si="4"/>
        <v>0.14000000000000012</v>
      </c>
    </row>
    <row r="31" spans="1:16" ht="15" customHeight="1" x14ac:dyDescent="0.15">
      <c r="A31" s="7" t="s">
        <v>10</v>
      </c>
      <c r="B31" s="7" t="s">
        <v>11</v>
      </c>
      <c r="C31" s="8" t="s">
        <v>235</v>
      </c>
      <c r="D31" s="2">
        <v>3.8</v>
      </c>
      <c r="E31" s="2">
        <v>3.95</v>
      </c>
      <c r="F31" s="2">
        <v>3.73</v>
      </c>
      <c r="G31" s="2">
        <v>3.95</v>
      </c>
      <c r="H31" s="17">
        <v>60973</v>
      </c>
      <c r="I31" s="11">
        <v>445.49</v>
      </c>
      <c r="J31" s="14">
        <v>112782052</v>
      </c>
      <c r="K31">
        <f t="shared" si="0"/>
        <v>45513</v>
      </c>
      <c r="L31" s="20">
        <f t="shared" si="5"/>
        <v>-8.1395348837209225E-2</v>
      </c>
      <c r="M31" s="24">
        <f t="shared" si="1"/>
        <v>232.55813953488374</v>
      </c>
      <c r="N31" s="11">
        <f t="shared" si="2"/>
        <v>918.60465116279079</v>
      </c>
      <c r="O31" s="20">
        <f t="shared" si="3"/>
        <v>-8.1395348837209211E-2</v>
      </c>
      <c r="P31" s="2">
        <f t="shared" si="4"/>
        <v>0.2200000000000002</v>
      </c>
    </row>
    <row r="32" spans="1:16" ht="15" customHeight="1" x14ac:dyDescent="0.15">
      <c r="A32" s="7" t="s">
        <v>10</v>
      </c>
      <c r="B32" s="7" t="s">
        <v>11</v>
      </c>
      <c r="C32" s="8" t="s">
        <v>234</v>
      </c>
      <c r="D32" s="2">
        <v>3.93</v>
      </c>
      <c r="E32" s="2">
        <v>3.93</v>
      </c>
      <c r="F32" s="2">
        <v>3.83</v>
      </c>
      <c r="G32" s="2">
        <v>3.86</v>
      </c>
      <c r="H32" s="17">
        <v>58450</v>
      </c>
      <c r="I32" s="11">
        <v>435.34</v>
      </c>
      <c r="J32" s="14">
        <v>112782052</v>
      </c>
      <c r="K32">
        <f t="shared" si="0"/>
        <v>45516</v>
      </c>
      <c r="L32" s="20">
        <f t="shared" si="5"/>
        <v>-0.10232558139534886</v>
      </c>
      <c r="M32" s="24">
        <f t="shared" si="1"/>
        <v>232.55813953488374</v>
      </c>
      <c r="N32" s="11">
        <f t="shared" si="2"/>
        <v>897.67441860465124</v>
      </c>
      <c r="O32" s="20">
        <f t="shared" si="3"/>
        <v>-0.10232558139534877</v>
      </c>
      <c r="P32" s="2">
        <f t="shared" si="4"/>
        <v>0.10000000000000009</v>
      </c>
    </row>
    <row r="33" spans="1:16" ht="15" customHeight="1" x14ac:dyDescent="0.15">
      <c r="A33" s="7" t="s">
        <v>10</v>
      </c>
      <c r="B33" s="7" t="s">
        <v>11</v>
      </c>
      <c r="C33" s="8" t="s">
        <v>233</v>
      </c>
      <c r="D33" s="2">
        <v>3.82</v>
      </c>
      <c r="E33" s="2">
        <v>3.9</v>
      </c>
      <c r="F33" s="2">
        <v>3.72</v>
      </c>
      <c r="G33" s="2">
        <v>3.81</v>
      </c>
      <c r="H33" s="17">
        <v>85691</v>
      </c>
      <c r="I33" s="11">
        <v>429.7</v>
      </c>
      <c r="J33" s="14">
        <v>112782052</v>
      </c>
      <c r="K33">
        <f t="shared" si="0"/>
        <v>45517</v>
      </c>
      <c r="L33" s="20">
        <f t="shared" si="5"/>
        <v>-0.11395348837209296</v>
      </c>
      <c r="M33" s="24">
        <f t="shared" si="1"/>
        <v>232.55813953488374</v>
      </c>
      <c r="N33" s="11">
        <f t="shared" si="2"/>
        <v>886.04651162790708</v>
      </c>
      <c r="O33" s="20">
        <f t="shared" si="3"/>
        <v>-0.11395348837209292</v>
      </c>
      <c r="P33" s="2">
        <f t="shared" si="4"/>
        <v>0.17999999999999972</v>
      </c>
    </row>
    <row r="34" spans="1:16" s="35" customFormat="1" ht="15" customHeight="1" x14ac:dyDescent="0.15">
      <c r="A34" s="29" t="s">
        <v>10</v>
      </c>
      <c r="B34" s="29" t="s">
        <v>11</v>
      </c>
      <c r="C34" s="30" t="s">
        <v>232</v>
      </c>
      <c r="D34" s="31">
        <v>3.75</v>
      </c>
      <c r="E34" s="31">
        <v>3.81</v>
      </c>
      <c r="F34" s="31">
        <v>3.74</v>
      </c>
      <c r="G34" s="31">
        <v>3.77</v>
      </c>
      <c r="H34" s="32">
        <v>66559</v>
      </c>
      <c r="I34" s="33">
        <v>425.19</v>
      </c>
      <c r="J34" s="34">
        <v>112782052</v>
      </c>
      <c r="K34" s="35">
        <f t="shared" si="0"/>
        <v>45518</v>
      </c>
      <c r="L34" s="36">
        <f t="shared" si="5"/>
        <v>-0.12325581395348828</v>
      </c>
      <c r="M34" s="37">
        <f t="shared" si="1"/>
        <v>232.55813953488374</v>
      </c>
      <c r="N34" s="33">
        <f t="shared" si="2"/>
        <v>876.74418604651169</v>
      </c>
      <c r="O34" s="36">
        <f t="shared" si="3"/>
        <v>-0.12325581395348831</v>
      </c>
      <c r="P34" s="31">
        <f t="shared" si="4"/>
        <v>6.999999999999984E-2</v>
      </c>
    </row>
    <row r="35" spans="1:16" ht="15" customHeight="1" x14ac:dyDescent="0.15">
      <c r="A35" s="7" t="s">
        <v>10</v>
      </c>
      <c r="B35" s="7" t="s">
        <v>11</v>
      </c>
      <c r="C35" s="8" t="s">
        <v>231</v>
      </c>
      <c r="D35" s="2">
        <v>3.76</v>
      </c>
      <c r="E35" s="2">
        <v>3.91</v>
      </c>
      <c r="F35" s="2">
        <v>3.76</v>
      </c>
      <c r="G35" s="2">
        <v>3.85</v>
      </c>
      <c r="H35" s="17">
        <v>59385</v>
      </c>
      <c r="I35" s="11">
        <v>434.21</v>
      </c>
      <c r="J35" s="14">
        <v>112782052</v>
      </c>
      <c r="K35">
        <f t="shared" si="0"/>
        <v>45519</v>
      </c>
      <c r="L35" s="20">
        <f t="shared" si="5"/>
        <v>-0.10465116279069764</v>
      </c>
      <c r="M35" s="24">
        <f t="shared" si="1"/>
        <v>232.55813953488374</v>
      </c>
      <c r="N35" s="11">
        <f t="shared" si="2"/>
        <v>895.34883720930236</v>
      </c>
      <c r="O35" s="20">
        <f t="shared" si="3"/>
        <v>-0.10465116279069764</v>
      </c>
      <c r="P35" s="2">
        <f t="shared" si="4"/>
        <v>0.15000000000000036</v>
      </c>
    </row>
    <row r="36" spans="1:16" ht="15" customHeight="1" x14ac:dyDescent="0.15">
      <c r="A36" s="7" t="s">
        <v>10</v>
      </c>
      <c r="B36" s="7" t="s">
        <v>11</v>
      </c>
      <c r="C36" s="8" t="s">
        <v>230</v>
      </c>
      <c r="D36" s="2">
        <v>3.84</v>
      </c>
      <c r="E36" s="2">
        <v>3.97</v>
      </c>
      <c r="F36" s="2">
        <v>3.84</v>
      </c>
      <c r="G36" s="2">
        <v>3.97</v>
      </c>
      <c r="H36" s="17">
        <v>92231</v>
      </c>
      <c r="I36" s="11">
        <v>447.74</v>
      </c>
      <c r="J36" s="14">
        <v>112782052</v>
      </c>
      <c r="K36">
        <f t="shared" si="0"/>
        <v>45520</v>
      </c>
      <c r="L36" s="20">
        <f t="shared" si="5"/>
        <v>-7.6744186046511564E-2</v>
      </c>
      <c r="M36" s="24">
        <f t="shared" si="1"/>
        <v>232.55813953488374</v>
      </c>
      <c r="N36" s="11">
        <f t="shared" si="2"/>
        <v>923.25581395348843</v>
      </c>
      <c r="O36" s="20">
        <f t="shared" si="3"/>
        <v>-7.6744186046511578E-2</v>
      </c>
      <c r="P36" s="2">
        <f t="shared" si="4"/>
        <v>0.13000000000000034</v>
      </c>
    </row>
    <row r="37" spans="1:16" ht="15" customHeight="1" x14ac:dyDescent="0.15">
      <c r="A37" s="7" t="s">
        <v>10</v>
      </c>
      <c r="B37" s="7" t="s">
        <v>11</v>
      </c>
      <c r="C37" s="8" t="s">
        <v>229</v>
      </c>
      <c r="D37" s="2">
        <v>3.95</v>
      </c>
      <c r="E37" s="2">
        <v>3.95</v>
      </c>
      <c r="F37" s="2">
        <v>3.83</v>
      </c>
      <c r="G37" s="2">
        <v>3.93</v>
      </c>
      <c r="H37" s="17">
        <v>79289</v>
      </c>
      <c r="I37" s="11">
        <v>443.23</v>
      </c>
      <c r="J37" s="14">
        <v>112782052</v>
      </c>
      <c r="K37">
        <f t="shared" si="0"/>
        <v>45523</v>
      </c>
      <c r="L37" s="20">
        <f t="shared" si="5"/>
        <v>-8.6046511627906885E-2</v>
      </c>
      <c r="M37" s="24">
        <f t="shared" si="1"/>
        <v>232.55813953488374</v>
      </c>
      <c r="N37" s="11">
        <f t="shared" si="2"/>
        <v>913.95348837209315</v>
      </c>
      <c r="O37" s="20">
        <f t="shared" si="3"/>
        <v>-8.6046511627906858E-2</v>
      </c>
      <c r="P37" s="2">
        <f t="shared" si="4"/>
        <v>0.12000000000000011</v>
      </c>
    </row>
    <row r="38" spans="1:16" ht="15" customHeight="1" x14ac:dyDescent="0.15">
      <c r="A38" s="7" t="s">
        <v>10</v>
      </c>
      <c r="B38" s="7" t="s">
        <v>11</v>
      </c>
      <c r="C38" s="8" t="s">
        <v>228</v>
      </c>
      <c r="D38" s="2">
        <v>3.94</v>
      </c>
      <c r="E38" s="2">
        <v>4.0199999999999996</v>
      </c>
      <c r="F38" s="2">
        <v>3.89</v>
      </c>
      <c r="G38" s="2">
        <v>4.0199999999999996</v>
      </c>
      <c r="H38" s="17">
        <v>64746</v>
      </c>
      <c r="I38" s="11">
        <v>453.38</v>
      </c>
      <c r="J38" s="14">
        <v>112782052</v>
      </c>
      <c r="K38">
        <f t="shared" si="0"/>
        <v>45524</v>
      </c>
      <c r="L38" s="20">
        <f t="shared" si="5"/>
        <v>-6.5116279069767469E-2</v>
      </c>
      <c r="M38" s="24">
        <f t="shared" si="1"/>
        <v>232.55813953488374</v>
      </c>
      <c r="N38" s="11">
        <f t="shared" si="2"/>
        <v>934.88372093023247</v>
      </c>
      <c r="O38" s="20">
        <f t="shared" si="3"/>
        <v>-6.5116279069767524E-2</v>
      </c>
      <c r="P38" s="2">
        <f t="shared" si="4"/>
        <v>0.12999999999999945</v>
      </c>
    </row>
    <row r="39" spans="1:16" ht="15" customHeight="1" x14ac:dyDescent="0.15">
      <c r="A39" s="7" t="s">
        <v>10</v>
      </c>
      <c r="B39" s="7" t="s">
        <v>11</v>
      </c>
      <c r="C39" s="8" t="s">
        <v>227</v>
      </c>
      <c r="D39" s="2">
        <v>3.98</v>
      </c>
      <c r="E39" s="2">
        <v>4.0199999999999996</v>
      </c>
      <c r="F39" s="2">
        <v>3.88</v>
      </c>
      <c r="G39" s="2">
        <v>4.0199999999999996</v>
      </c>
      <c r="H39" s="17">
        <v>77043</v>
      </c>
      <c r="I39" s="11">
        <v>453.38</v>
      </c>
      <c r="J39" s="14">
        <v>112782052</v>
      </c>
      <c r="K39">
        <f t="shared" si="0"/>
        <v>45525</v>
      </c>
      <c r="L39" s="20">
        <f t="shared" si="5"/>
        <v>-6.5116279069767469E-2</v>
      </c>
      <c r="M39" s="24">
        <f t="shared" si="1"/>
        <v>232.55813953488374</v>
      </c>
      <c r="N39" s="11">
        <f t="shared" si="2"/>
        <v>934.88372093023247</v>
      </c>
      <c r="O39" s="20">
        <f t="shared" si="3"/>
        <v>-6.5116279069767524E-2</v>
      </c>
      <c r="P39" s="2">
        <f t="shared" si="4"/>
        <v>0.13999999999999968</v>
      </c>
    </row>
    <row r="40" spans="1:16" ht="15" customHeight="1" x14ac:dyDescent="0.15">
      <c r="A40" s="7" t="s">
        <v>10</v>
      </c>
      <c r="B40" s="7" t="s">
        <v>11</v>
      </c>
      <c r="C40" s="8" t="s">
        <v>226</v>
      </c>
      <c r="D40" s="2">
        <v>4.01</v>
      </c>
      <c r="E40" s="2">
        <v>4.1500000000000004</v>
      </c>
      <c r="F40" s="2">
        <v>3.99</v>
      </c>
      <c r="G40" s="2">
        <v>4.0999999999999996</v>
      </c>
      <c r="H40" s="17">
        <v>83967</v>
      </c>
      <c r="I40" s="11">
        <v>462.41</v>
      </c>
      <c r="J40" s="14">
        <v>112782052</v>
      </c>
      <c r="K40">
        <f t="shared" si="0"/>
        <v>45526</v>
      </c>
      <c r="L40" s="20">
        <f t="shared" si="5"/>
        <v>-4.6511627906976827E-2</v>
      </c>
      <c r="M40" s="24">
        <f t="shared" si="1"/>
        <v>232.55813953488374</v>
      </c>
      <c r="N40" s="11">
        <f t="shared" si="2"/>
        <v>953.48837209302326</v>
      </c>
      <c r="O40" s="20">
        <f t="shared" si="3"/>
        <v>-4.6511627906976744E-2</v>
      </c>
      <c r="P40" s="2">
        <f t="shared" si="4"/>
        <v>0.16000000000000014</v>
      </c>
    </row>
    <row r="41" spans="1:16" ht="15" customHeight="1" x14ac:dyDescent="0.15">
      <c r="A41" s="7" t="s">
        <v>10</v>
      </c>
      <c r="B41" s="7" t="s">
        <v>11</v>
      </c>
      <c r="C41" s="8" t="s">
        <v>225</v>
      </c>
      <c r="D41" s="2">
        <v>4.0599999999999996</v>
      </c>
      <c r="E41" s="2">
        <v>4.07</v>
      </c>
      <c r="F41" s="2">
        <v>3.89</v>
      </c>
      <c r="G41" s="2">
        <v>3.98</v>
      </c>
      <c r="H41" s="17">
        <v>58233</v>
      </c>
      <c r="I41" s="11">
        <v>448.87</v>
      </c>
      <c r="J41" s="14">
        <v>112782052</v>
      </c>
      <c r="K41">
        <f t="shared" si="0"/>
        <v>45527</v>
      </c>
      <c r="L41" s="20">
        <f t="shared" si="5"/>
        <v>-7.441860465116279E-2</v>
      </c>
      <c r="M41" s="24">
        <f t="shared" si="1"/>
        <v>232.55813953488374</v>
      </c>
      <c r="N41" s="11">
        <f t="shared" si="2"/>
        <v>925.5813953488373</v>
      </c>
      <c r="O41" s="20">
        <f t="shared" si="3"/>
        <v>-7.4418604651162693E-2</v>
      </c>
      <c r="P41" s="2">
        <f t="shared" si="4"/>
        <v>0.18000000000000016</v>
      </c>
    </row>
    <row r="42" spans="1:16" ht="15" customHeight="1" x14ac:dyDescent="0.15">
      <c r="A42" s="7" t="s">
        <v>10</v>
      </c>
      <c r="B42" s="7" t="s">
        <v>11</v>
      </c>
      <c r="C42" s="8" t="s">
        <v>224</v>
      </c>
      <c r="D42" s="2">
        <v>4</v>
      </c>
      <c r="E42" s="2">
        <v>4.03</v>
      </c>
      <c r="F42" s="2">
        <v>3.9</v>
      </c>
      <c r="G42" s="2">
        <v>3.96</v>
      </c>
      <c r="H42" s="17">
        <v>43134</v>
      </c>
      <c r="I42" s="11">
        <v>446.62</v>
      </c>
      <c r="J42" s="14">
        <v>112782052</v>
      </c>
      <c r="K42">
        <f t="shared" si="0"/>
        <v>45530</v>
      </c>
      <c r="L42" s="20">
        <f t="shared" si="5"/>
        <v>-7.906976744186045E-2</v>
      </c>
      <c r="M42" s="24">
        <f t="shared" si="1"/>
        <v>232.55813953488374</v>
      </c>
      <c r="N42" s="11">
        <f t="shared" si="2"/>
        <v>920.93023255813955</v>
      </c>
      <c r="O42" s="20">
        <f t="shared" si="3"/>
        <v>-7.906976744186045E-2</v>
      </c>
      <c r="P42" s="2">
        <f t="shared" si="4"/>
        <v>0.13000000000000034</v>
      </c>
    </row>
    <row r="43" spans="1:16" ht="15" customHeight="1" x14ac:dyDescent="0.15">
      <c r="A43" s="7" t="s">
        <v>10</v>
      </c>
      <c r="B43" s="7" t="s">
        <v>11</v>
      </c>
      <c r="C43" s="8" t="s">
        <v>223</v>
      </c>
      <c r="D43" s="2">
        <v>3.94</v>
      </c>
      <c r="E43" s="2">
        <v>3.94</v>
      </c>
      <c r="F43" s="2">
        <v>3.85</v>
      </c>
      <c r="G43" s="2">
        <v>3.88</v>
      </c>
      <c r="H43" s="17">
        <v>52918</v>
      </c>
      <c r="I43" s="11">
        <v>437.59</v>
      </c>
      <c r="J43" s="14">
        <v>112782052</v>
      </c>
      <c r="K43">
        <f t="shared" si="0"/>
        <v>45531</v>
      </c>
      <c r="L43" s="20">
        <f t="shared" si="5"/>
        <v>-9.7674418604651203E-2</v>
      </c>
      <c r="M43" s="24">
        <f t="shared" si="1"/>
        <v>232.55813953488374</v>
      </c>
      <c r="N43" s="11">
        <f t="shared" si="2"/>
        <v>902.32558139534888</v>
      </c>
      <c r="O43" s="20">
        <f t="shared" si="3"/>
        <v>-9.767441860465112E-2</v>
      </c>
      <c r="P43" s="2">
        <f t="shared" si="4"/>
        <v>8.9999999999999858E-2</v>
      </c>
    </row>
    <row r="44" spans="1:16" ht="15" customHeight="1" x14ac:dyDescent="0.15">
      <c r="A44" s="7" t="s">
        <v>10</v>
      </c>
      <c r="B44" s="7" t="s">
        <v>11</v>
      </c>
      <c r="C44" s="8" t="s">
        <v>222</v>
      </c>
      <c r="D44" s="2">
        <v>3.84</v>
      </c>
      <c r="E44" s="2">
        <v>3.85</v>
      </c>
      <c r="F44" s="2">
        <v>3.75</v>
      </c>
      <c r="G44" s="2">
        <v>3.85</v>
      </c>
      <c r="H44" s="17">
        <v>85899</v>
      </c>
      <c r="I44" s="11">
        <v>434.21</v>
      </c>
      <c r="J44" s="14">
        <v>112782052</v>
      </c>
      <c r="K44">
        <f t="shared" si="0"/>
        <v>45532</v>
      </c>
      <c r="L44" s="20">
        <f t="shared" si="5"/>
        <v>-0.10465116279069764</v>
      </c>
      <c r="M44" s="24">
        <f t="shared" si="1"/>
        <v>232.55813953488374</v>
      </c>
      <c r="N44" s="11">
        <f t="shared" si="2"/>
        <v>895.34883720930236</v>
      </c>
      <c r="O44" s="20">
        <f t="shared" si="3"/>
        <v>-0.10465116279069764</v>
      </c>
      <c r="P44" s="2">
        <f t="shared" si="4"/>
        <v>0.10000000000000009</v>
      </c>
    </row>
    <row r="45" spans="1:16" ht="15" customHeight="1" x14ac:dyDescent="0.15">
      <c r="A45" s="7" t="s">
        <v>10</v>
      </c>
      <c r="B45" s="7" t="s">
        <v>11</v>
      </c>
      <c r="C45" s="8" t="s">
        <v>221</v>
      </c>
      <c r="D45" s="2">
        <v>4.0199999999999996</v>
      </c>
      <c r="E45" s="2">
        <v>4.26</v>
      </c>
      <c r="F45" s="2">
        <v>4.0199999999999996</v>
      </c>
      <c r="G45" s="2">
        <v>4.09</v>
      </c>
      <c r="H45" s="17">
        <v>330035</v>
      </c>
      <c r="I45" s="11">
        <v>461.28</v>
      </c>
      <c r="J45" s="14">
        <v>112782052</v>
      </c>
      <c r="K45">
        <f t="shared" si="0"/>
        <v>45533</v>
      </c>
      <c r="L45" s="20">
        <f t="shared" si="5"/>
        <v>-4.8837209302325602E-2</v>
      </c>
      <c r="M45" s="24">
        <f t="shared" si="1"/>
        <v>232.55813953488374</v>
      </c>
      <c r="N45" s="11">
        <f t="shared" si="2"/>
        <v>951.1627906976745</v>
      </c>
      <c r="O45" s="20">
        <f t="shared" si="3"/>
        <v>-4.8837209302325504E-2</v>
      </c>
      <c r="P45" s="2">
        <f t="shared" si="4"/>
        <v>0.24000000000000021</v>
      </c>
    </row>
    <row r="46" spans="1:16" ht="15" customHeight="1" x14ac:dyDescent="0.15">
      <c r="A46" s="7" t="s">
        <v>10</v>
      </c>
      <c r="B46" s="7" t="s">
        <v>11</v>
      </c>
      <c r="C46" s="8" t="s">
        <v>220</v>
      </c>
      <c r="D46" s="2">
        <v>4.09</v>
      </c>
      <c r="E46" s="2">
        <v>4.1900000000000004</v>
      </c>
      <c r="F46" s="2">
        <v>4.09</v>
      </c>
      <c r="G46" s="2">
        <v>4.1500000000000004</v>
      </c>
      <c r="H46" s="17">
        <v>115425</v>
      </c>
      <c r="I46" s="11">
        <v>468.05</v>
      </c>
      <c r="J46" s="14">
        <v>112782052</v>
      </c>
      <c r="K46">
        <f t="shared" si="0"/>
        <v>45534</v>
      </c>
      <c r="L46" s="20">
        <f t="shared" si="5"/>
        <v>-3.4883720930232398E-2</v>
      </c>
      <c r="M46" s="24">
        <f t="shared" si="1"/>
        <v>232.55813953488374</v>
      </c>
      <c r="N46" s="11">
        <f t="shared" si="2"/>
        <v>965.11627906976764</v>
      </c>
      <c r="O46" s="20">
        <f t="shared" si="3"/>
        <v>-3.4883720930232356E-2</v>
      </c>
      <c r="P46" s="2">
        <f t="shared" si="4"/>
        <v>0.10000000000000053</v>
      </c>
    </row>
    <row r="47" spans="1:16" ht="15" customHeight="1" x14ac:dyDescent="0.15">
      <c r="A47" s="7" t="s">
        <v>10</v>
      </c>
      <c r="B47" s="7" t="s">
        <v>11</v>
      </c>
      <c r="C47" s="8" t="s">
        <v>219</v>
      </c>
      <c r="D47" s="2">
        <v>4.13</v>
      </c>
      <c r="E47" s="2">
        <v>4.1399999999999997</v>
      </c>
      <c r="F47" s="2">
        <v>4.03</v>
      </c>
      <c r="G47" s="2">
        <v>4.0999999999999996</v>
      </c>
      <c r="H47" s="17">
        <v>65867</v>
      </c>
      <c r="I47" s="11">
        <v>462.41</v>
      </c>
      <c r="J47" s="14">
        <v>112782052</v>
      </c>
      <c r="K47">
        <f t="shared" si="0"/>
        <v>45537</v>
      </c>
      <c r="L47" s="20">
        <f t="shared" si="5"/>
        <v>-4.6511627906976827E-2</v>
      </c>
      <c r="M47" s="24">
        <f t="shared" si="1"/>
        <v>232.55813953488374</v>
      </c>
      <c r="N47" s="11">
        <f t="shared" si="2"/>
        <v>953.48837209302326</v>
      </c>
      <c r="O47" s="20">
        <f t="shared" si="3"/>
        <v>-4.6511627906976744E-2</v>
      </c>
      <c r="P47" s="2">
        <f t="shared" si="4"/>
        <v>0.10999999999999943</v>
      </c>
    </row>
    <row r="48" spans="1:16" ht="15" customHeight="1" x14ac:dyDescent="0.15">
      <c r="A48" s="7" t="s">
        <v>10</v>
      </c>
      <c r="B48" s="7" t="s">
        <v>11</v>
      </c>
      <c r="C48" s="8" t="s">
        <v>218</v>
      </c>
      <c r="D48" s="2">
        <v>4</v>
      </c>
      <c r="E48" s="2">
        <v>4.0599999999999996</v>
      </c>
      <c r="F48" s="2">
        <v>3.94</v>
      </c>
      <c r="G48" s="2">
        <v>4</v>
      </c>
      <c r="H48" s="17">
        <v>135032</v>
      </c>
      <c r="I48" s="11">
        <v>451.13</v>
      </c>
      <c r="J48" s="14">
        <v>112782052</v>
      </c>
      <c r="K48">
        <f t="shared" si="0"/>
        <v>45538</v>
      </c>
      <c r="L48" s="20">
        <f t="shared" si="5"/>
        <v>-6.9767441860465129E-2</v>
      </c>
      <c r="M48" s="24">
        <f t="shared" si="1"/>
        <v>232.55813953488374</v>
      </c>
      <c r="N48" s="11">
        <f t="shared" si="2"/>
        <v>930.23255813953494</v>
      </c>
      <c r="O48" s="20">
        <f t="shared" si="3"/>
        <v>-6.976744186046506E-2</v>
      </c>
      <c r="P48" s="2">
        <f t="shared" si="4"/>
        <v>0.11999999999999966</v>
      </c>
    </row>
    <row r="49" spans="1:16" ht="15" customHeight="1" x14ac:dyDescent="0.15">
      <c r="A49" s="7" t="s">
        <v>10</v>
      </c>
      <c r="B49" s="7" t="s">
        <v>11</v>
      </c>
      <c r="C49" s="8" t="s">
        <v>217</v>
      </c>
      <c r="D49" s="2">
        <v>3.95</v>
      </c>
      <c r="E49" s="2">
        <v>3.98</v>
      </c>
      <c r="F49" s="2">
        <v>3.88</v>
      </c>
      <c r="G49" s="2">
        <v>3.88</v>
      </c>
      <c r="H49" s="17">
        <v>116557</v>
      </c>
      <c r="I49" s="11">
        <v>437.59</v>
      </c>
      <c r="J49" s="14">
        <v>112782052</v>
      </c>
      <c r="K49">
        <f t="shared" si="0"/>
        <v>45539</v>
      </c>
      <c r="L49" s="20">
        <f t="shared" si="5"/>
        <v>-9.7674418604651203E-2</v>
      </c>
      <c r="M49" s="24">
        <f t="shared" si="1"/>
        <v>232.55813953488374</v>
      </c>
      <c r="N49" s="11">
        <f t="shared" si="2"/>
        <v>902.32558139534888</v>
      </c>
      <c r="O49" s="20">
        <f t="shared" si="3"/>
        <v>-9.767441860465112E-2</v>
      </c>
      <c r="P49" s="2">
        <f t="shared" si="4"/>
        <v>0.10000000000000009</v>
      </c>
    </row>
    <row r="50" spans="1:16" ht="15" customHeight="1" x14ac:dyDescent="0.15">
      <c r="A50" s="7" t="s">
        <v>10</v>
      </c>
      <c r="B50" s="7" t="s">
        <v>11</v>
      </c>
      <c r="C50" s="8" t="s">
        <v>216</v>
      </c>
      <c r="D50" s="2">
        <v>3.9</v>
      </c>
      <c r="E50" s="2">
        <v>3.99</v>
      </c>
      <c r="F50" s="2">
        <v>3.84</v>
      </c>
      <c r="G50" s="2">
        <v>3.96</v>
      </c>
      <c r="H50" s="17">
        <v>121057</v>
      </c>
      <c r="I50" s="11">
        <v>446.62</v>
      </c>
      <c r="J50" s="14">
        <v>112782052</v>
      </c>
      <c r="K50">
        <f t="shared" si="0"/>
        <v>45540</v>
      </c>
      <c r="L50" s="20">
        <f t="shared" si="5"/>
        <v>-7.906976744186045E-2</v>
      </c>
      <c r="M50" s="24">
        <f t="shared" si="1"/>
        <v>232.55813953488374</v>
      </c>
      <c r="N50" s="11">
        <f t="shared" si="2"/>
        <v>920.93023255813955</v>
      </c>
      <c r="O50" s="20">
        <f t="shared" si="3"/>
        <v>-7.906976744186045E-2</v>
      </c>
      <c r="P50" s="2">
        <f t="shared" si="4"/>
        <v>0.15000000000000036</v>
      </c>
    </row>
    <row r="51" spans="1:16" ht="15" customHeight="1" x14ac:dyDescent="0.15">
      <c r="A51" s="7" t="s">
        <v>10</v>
      </c>
      <c r="B51" s="7" t="s">
        <v>11</v>
      </c>
      <c r="C51" s="8" t="s">
        <v>215</v>
      </c>
      <c r="D51" s="2">
        <v>3.96</v>
      </c>
      <c r="E51" s="2">
        <v>4.07</v>
      </c>
      <c r="F51" s="2">
        <v>3.81</v>
      </c>
      <c r="G51" s="2">
        <v>3.86</v>
      </c>
      <c r="H51" s="17">
        <v>85836</v>
      </c>
      <c r="I51" s="11">
        <v>435.34</v>
      </c>
      <c r="J51" s="14">
        <v>112782052</v>
      </c>
      <c r="K51">
        <f t="shared" si="0"/>
        <v>45541</v>
      </c>
      <c r="L51" s="20">
        <f t="shared" si="5"/>
        <v>-0.10232558139534886</v>
      </c>
      <c r="M51" s="24">
        <f t="shared" si="1"/>
        <v>232.55813953488374</v>
      </c>
      <c r="N51" s="11">
        <f t="shared" si="2"/>
        <v>897.67441860465124</v>
      </c>
      <c r="O51" s="20">
        <f t="shared" si="3"/>
        <v>-0.10232558139534877</v>
      </c>
      <c r="P51" s="2">
        <f t="shared" si="4"/>
        <v>0.26000000000000023</v>
      </c>
    </row>
    <row r="52" spans="1:16" ht="15" customHeight="1" x14ac:dyDescent="0.15">
      <c r="A52" s="7" t="s">
        <v>10</v>
      </c>
      <c r="B52" s="7" t="s">
        <v>11</v>
      </c>
      <c r="C52" s="8" t="s">
        <v>214</v>
      </c>
      <c r="D52" s="2">
        <v>3.86</v>
      </c>
      <c r="E52" s="2">
        <v>3.97</v>
      </c>
      <c r="F52" s="2">
        <v>3.78</v>
      </c>
      <c r="G52" s="2">
        <v>3.97</v>
      </c>
      <c r="H52" s="17">
        <v>93086</v>
      </c>
      <c r="I52" s="11">
        <v>447.74</v>
      </c>
      <c r="J52" s="14">
        <v>112782052</v>
      </c>
      <c r="K52">
        <f t="shared" si="0"/>
        <v>45544</v>
      </c>
      <c r="L52" s="20">
        <f t="shared" si="5"/>
        <v>-7.6744186046511564E-2</v>
      </c>
      <c r="M52" s="24">
        <f t="shared" si="1"/>
        <v>232.55813953488374</v>
      </c>
      <c r="N52" s="11">
        <f t="shared" si="2"/>
        <v>923.25581395348843</v>
      </c>
      <c r="O52" s="20">
        <f t="shared" si="3"/>
        <v>-7.6744186046511578E-2</v>
      </c>
      <c r="P52" s="2">
        <f t="shared" si="4"/>
        <v>0.19000000000000039</v>
      </c>
    </row>
    <row r="53" spans="1:16" ht="15" customHeight="1" x14ac:dyDescent="0.15">
      <c r="A53" s="7" t="s">
        <v>10</v>
      </c>
      <c r="B53" s="7" t="s">
        <v>11</v>
      </c>
      <c r="C53" s="8" t="s">
        <v>213</v>
      </c>
      <c r="D53" s="2">
        <v>3.92</v>
      </c>
      <c r="E53" s="2">
        <v>3.99</v>
      </c>
      <c r="F53" s="2">
        <v>3.9</v>
      </c>
      <c r="G53" s="2">
        <v>3.96</v>
      </c>
      <c r="H53" s="17">
        <v>51421</v>
      </c>
      <c r="I53" s="11">
        <v>446.62</v>
      </c>
      <c r="J53" s="14">
        <v>112782052</v>
      </c>
      <c r="K53">
        <f t="shared" si="0"/>
        <v>45545</v>
      </c>
      <c r="L53" s="20">
        <f t="shared" si="5"/>
        <v>-7.906976744186045E-2</v>
      </c>
      <c r="M53" s="24">
        <f t="shared" si="1"/>
        <v>232.55813953488374</v>
      </c>
      <c r="N53" s="11">
        <f t="shared" si="2"/>
        <v>920.93023255813955</v>
      </c>
      <c r="O53" s="20">
        <f t="shared" si="3"/>
        <v>-7.906976744186045E-2</v>
      </c>
      <c r="P53" s="2">
        <f t="shared" si="4"/>
        <v>9.0000000000000302E-2</v>
      </c>
    </row>
    <row r="54" spans="1:16" ht="15" customHeight="1" x14ac:dyDescent="0.15">
      <c r="A54" s="7" t="s">
        <v>10</v>
      </c>
      <c r="B54" s="7" t="s">
        <v>11</v>
      </c>
      <c r="C54" s="8" t="s">
        <v>212</v>
      </c>
      <c r="D54" s="2">
        <v>3.96</v>
      </c>
      <c r="E54" s="2">
        <v>4.2</v>
      </c>
      <c r="F54" s="2">
        <v>3.79</v>
      </c>
      <c r="G54" s="2">
        <v>4.16</v>
      </c>
      <c r="H54" s="17">
        <v>70402</v>
      </c>
      <c r="I54" s="11">
        <v>469.17</v>
      </c>
      <c r="J54" s="14">
        <v>112782052</v>
      </c>
      <c r="K54">
        <f t="shared" si="0"/>
        <v>45546</v>
      </c>
      <c r="L54" s="20">
        <f t="shared" si="5"/>
        <v>-3.2558139534883623E-2</v>
      </c>
      <c r="M54" s="24">
        <f t="shared" si="1"/>
        <v>232.55813953488374</v>
      </c>
      <c r="N54" s="11">
        <f t="shared" si="2"/>
        <v>967.44186046511641</v>
      </c>
      <c r="O54" s="20">
        <f t="shared" si="3"/>
        <v>-3.2558139534883596E-2</v>
      </c>
      <c r="P54" s="2">
        <f t="shared" si="4"/>
        <v>0.41000000000000014</v>
      </c>
    </row>
    <row r="55" spans="1:16" ht="15" customHeight="1" x14ac:dyDescent="0.15">
      <c r="A55" s="7" t="s">
        <v>10</v>
      </c>
      <c r="B55" s="7" t="s">
        <v>11</v>
      </c>
      <c r="C55" s="8" t="s">
        <v>211</v>
      </c>
      <c r="D55" s="2">
        <v>4.0999999999999996</v>
      </c>
      <c r="E55" s="2">
        <v>4.1900000000000004</v>
      </c>
      <c r="F55" s="2">
        <v>4.04</v>
      </c>
      <c r="G55" s="2">
        <v>4.1900000000000004</v>
      </c>
      <c r="H55" s="17">
        <v>115512</v>
      </c>
      <c r="I55" s="11">
        <v>472.56</v>
      </c>
      <c r="J55" s="14">
        <v>112782052</v>
      </c>
      <c r="K55">
        <f t="shared" si="0"/>
        <v>45547</v>
      </c>
      <c r="L55" s="20">
        <f t="shared" si="5"/>
        <v>-2.5581395348837077E-2</v>
      </c>
      <c r="M55" s="24">
        <f t="shared" si="1"/>
        <v>232.55813953488374</v>
      </c>
      <c r="N55" s="11">
        <f t="shared" si="2"/>
        <v>974.41860465116292</v>
      </c>
      <c r="O55" s="20">
        <f t="shared" si="3"/>
        <v>-2.5581395348837077E-2</v>
      </c>
      <c r="P55" s="2">
        <f t="shared" si="4"/>
        <v>0.15000000000000036</v>
      </c>
    </row>
    <row r="56" spans="1:16" ht="15" customHeight="1" x14ac:dyDescent="0.15">
      <c r="A56" s="7" t="s">
        <v>10</v>
      </c>
      <c r="B56" s="7" t="s">
        <v>11</v>
      </c>
      <c r="C56" s="8" t="s">
        <v>210</v>
      </c>
      <c r="D56" s="2">
        <v>4.1500000000000004</v>
      </c>
      <c r="E56" s="2">
        <v>4.41</v>
      </c>
      <c r="F56" s="2">
        <v>4.1500000000000004</v>
      </c>
      <c r="G56" s="2">
        <v>4.3899999999999997</v>
      </c>
      <c r="H56" s="17">
        <v>375521</v>
      </c>
      <c r="I56" s="11">
        <v>495.11</v>
      </c>
      <c r="J56" s="14">
        <v>112782052</v>
      </c>
      <c r="K56">
        <f t="shared" si="0"/>
        <v>45548</v>
      </c>
      <c r="L56" s="20">
        <f t="shared" si="5"/>
        <v>2.0930232558139528E-2</v>
      </c>
      <c r="M56" s="24">
        <f t="shared" si="1"/>
        <v>232.55813953488374</v>
      </c>
      <c r="N56" s="11">
        <f t="shared" si="2"/>
        <v>1020.9302325581396</v>
      </c>
      <c r="O56" s="20">
        <f t="shared" si="3"/>
        <v>2.0930232558139552E-2</v>
      </c>
      <c r="P56" s="2">
        <f t="shared" si="4"/>
        <v>0.25999999999999979</v>
      </c>
    </row>
    <row r="57" spans="1:16" ht="15" customHeight="1" x14ac:dyDescent="0.15">
      <c r="A57" s="7" t="s">
        <v>10</v>
      </c>
      <c r="B57" s="7" t="s">
        <v>11</v>
      </c>
      <c r="C57" s="8" t="s">
        <v>209</v>
      </c>
      <c r="D57" s="2">
        <v>4.38</v>
      </c>
      <c r="E57" s="2">
        <v>4.4400000000000004</v>
      </c>
      <c r="F57" s="2">
        <v>4.29</v>
      </c>
      <c r="G57" s="2">
        <v>4.3</v>
      </c>
      <c r="H57" s="17">
        <v>344837</v>
      </c>
      <c r="I57" s="11">
        <v>484.96</v>
      </c>
      <c r="J57" s="14">
        <v>112782052</v>
      </c>
      <c r="K57">
        <f t="shared" si="0"/>
        <v>45551</v>
      </c>
      <c r="L57" s="20">
        <f t="shared" si="5"/>
        <v>0</v>
      </c>
      <c r="M57" s="24">
        <f t="shared" si="1"/>
        <v>232.55813953488374</v>
      </c>
      <c r="N57" s="11">
        <f t="shared" si="2"/>
        <v>1000</v>
      </c>
      <c r="O57" s="20">
        <f t="shared" si="3"/>
        <v>0</v>
      </c>
      <c r="P57" s="2">
        <f t="shared" si="4"/>
        <v>0.15000000000000036</v>
      </c>
    </row>
    <row r="58" spans="1:16" ht="15" customHeight="1" x14ac:dyDescent="0.15">
      <c r="A58" s="7" t="s">
        <v>10</v>
      </c>
      <c r="B58" s="7" t="s">
        <v>11</v>
      </c>
      <c r="C58" s="8" t="s">
        <v>208</v>
      </c>
      <c r="D58" s="2">
        <v>4.29</v>
      </c>
      <c r="E58" s="2">
        <v>4.32</v>
      </c>
      <c r="F58" s="2">
        <v>4.07</v>
      </c>
      <c r="G58" s="2">
        <v>4.2</v>
      </c>
      <c r="H58" s="17">
        <v>91575</v>
      </c>
      <c r="I58" s="11">
        <v>473.68</v>
      </c>
      <c r="J58" s="14">
        <v>112782052</v>
      </c>
      <c r="K58">
        <f t="shared" si="0"/>
        <v>45552</v>
      </c>
      <c r="L58" s="20">
        <f t="shared" si="5"/>
        <v>-2.3255813953488302E-2</v>
      </c>
      <c r="M58" s="24">
        <f t="shared" si="1"/>
        <v>232.55813953488374</v>
      </c>
      <c r="N58" s="11">
        <f t="shared" si="2"/>
        <v>976.74418604651169</v>
      </c>
      <c r="O58" s="20">
        <f t="shared" si="3"/>
        <v>-2.3255813953488313E-2</v>
      </c>
      <c r="P58" s="2">
        <f t="shared" si="4"/>
        <v>0.25</v>
      </c>
    </row>
    <row r="59" spans="1:16" ht="15" customHeight="1" x14ac:dyDescent="0.15">
      <c r="A59" s="7" t="s">
        <v>10</v>
      </c>
      <c r="B59" s="7" t="s">
        <v>11</v>
      </c>
      <c r="C59" s="8" t="s">
        <v>207</v>
      </c>
      <c r="D59" s="2">
        <v>4.2300000000000004</v>
      </c>
      <c r="E59" s="2">
        <v>4.32</v>
      </c>
      <c r="F59" s="2">
        <v>4.17</v>
      </c>
      <c r="G59" s="2">
        <v>4.26</v>
      </c>
      <c r="H59" s="17">
        <v>70907</v>
      </c>
      <c r="I59" s="11">
        <v>480.45</v>
      </c>
      <c r="J59" s="14">
        <v>112782052</v>
      </c>
      <c r="K59">
        <f t="shared" si="0"/>
        <v>45553</v>
      </c>
      <c r="L59" s="20">
        <f t="shared" si="5"/>
        <v>-9.302325581395321E-3</v>
      </c>
      <c r="M59" s="24">
        <f t="shared" si="1"/>
        <v>232.55813953488374</v>
      </c>
      <c r="N59" s="11">
        <f t="shared" si="2"/>
        <v>990.69767441860472</v>
      </c>
      <c r="O59" s="20">
        <f t="shared" si="3"/>
        <v>-9.3023255813952793E-3</v>
      </c>
      <c r="P59" s="2">
        <f t="shared" si="4"/>
        <v>0.15000000000000036</v>
      </c>
    </row>
    <row r="60" spans="1:16" ht="15" customHeight="1" x14ac:dyDescent="0.15">
      <c r="A60" s="7" t="s">
        <v>10</v>
      </c>
      <c r="B60" s="7" t="s">
        <v>11</v>
      </c>
      <c r="C60" s="8" t="s">
        <v>206</v>
      </c>
      <c r="D60" s="2">
        <v>4.25</v>
      </c>
      <c r="E60" s="2">
        <v>4.37</v>
      </c>
      <c r="F60" s="2">
        <v>4.1500000000000004</v>
      </c>
      <c r="G60" s="2">
        <v>4.29</v>
      </c>
      <c r="H60" s="17">
        <v>83839</v>
      </c>
      <c r="I60" s="11">
        <v>483.84</v>
      </c>
      <c r="J60" s="14">
        <v>112782052</v>
      </c>
      <c r="K60">
        <f t="shared" si="0"/>
        <v>45554</v>
      </c>
      <c r="L60" s="20">
        <f t="shared" si="5"/>
        <v>-2.3255813953487747E-3</v>
      </c>
      <c r="M60" s="24">
        <f t="shared" si="1"/>
        <v>232.55813953488374</v>
      </c>
      <c r="N60" s="11">
        <f t="shared" si="2"/>
        <v>997.67441860465124</v>
      </c>
      <c r="O60" s="20">
        <f t="shared" si="3"/>
        <v>-2.325581395348763E-3</v>
      </c>
      <c r="P60" s="2">
        <f t="shared" si="4"/>
        <v>0.21999999999999975</v>
      </c>
    </row>
    <row r="61" spans="1:16" ht="15" customHeight="1" x14ac:dyDescent="0.15">
      <c r="A61" s="7" t="s">
        <v>10</v>
      </c>
      <c r="B61" s="7" t="s">
        <v>11</v>
      </c>
      <c r="C61" s="8" t="s">
        <v>205</v>
      </c>
      <c r="D61" s="2">
        <v>4.3499999999999996</v>
      </c>
      <c r="E61" s="2">
        <v>4.41</v>
      </c>
      <c r="F61" s="2">
        <v>4.21</v>
      </c>
      <c r="G61" s="2">
        <v>4.25</v>
      </c>
      <c r="H61" s="17">
        <v>501772</v>
      </c>
      <c r="I61" s="11">
        <v>479.32</v>
      </c>
      <c r="J61" s="14">
        <v>112782052</v>
      </c>
      <c r="K61">
        <f t="shared" si="0"/>
        <v>45555</v>
      </c>
      <c r="L61" s="20">
        <f t="shared" si="5"/>
        <v>-1.1627906976744096E-2</v>
      </c>
      <c r="M61" s="24">
        <f t="shared" si="1"/>
        <v>232.55813953488374</v>
      </c>
      <c r="N61" s="11">
        <f t="shared" si="2"/>
        <v>988.37209302325584</v>
      </c>
      <c r="O61" s="20">
        <f t="shared" si="3"/>
        <v>-1.1627906976744156E-2</v>
      </c>
      <c r="P61" s="2">
        <f t="shared" si="4"/>
        <v>0.20000000000000018</v>
      </c>
    </row>
    <row r="62" spans="1:16" ht="15" customHeight="1" x14ac:dyDescent="0.15">
      <c r="A62" s="7" t="s">
        <v>10</v>
      </c>
      <c r="B62" s="7" t="s">
        <v>11</v>
      </c>
      <c r="C62" s="8" t="s">
        <v>204</v>
      </c>
      <c r="D62" s="2">
        <v>4.3</v>
      </c>
      <c r="E62" s="2">
        <v>4.3099999999999996</v>
      </c>
      <c r="F62" s="2">
        <v>4.25</v>
      </c>
      <c r="G62" s="2">
        <v>4.29</v>
      </c>
      <c r="H62" s="17">
        <v>220192</v>
      </c>
      <c r="I62" s="11">
        <v>483.84</v>
      </c>
      <c r="J62" s="14">
        <v>112782052</v>
      </c>
      <c r="K62">
        <f t="shared" si="0"/>
        <v>45558</v>
      </c>
      <c r="L62" s="20">
        <f t="shared" si="5"/>
        <v>-2.3255813953487747E-3</v>
      </c>
      <c r="M62" s="24">
        <f t="shared" si="1"/>
        <v>232.55813953488374</v>
      </c>
      <c r="N62" s="11">
        <f t="shared" si="2"/>
        <v>997.67441860465124</v>
      </c>
      <c r="O62" s="20">
        <f t="shared" si="3"/>
        <v>-2.325581395348763E-3</v>
      </c>
      <c r="P62" s="2">
        <f t="shared" si="4"/>
        <v>5.9999999999999609E-2</v>
      </c>
    </row>
    <row r="63" spans="1:16" ht="15" customHeight="1" x14ac:dyDescent="0.15">
      <c r="A63" s="7" t="s">
        <v>10</v>
      </c>
      <c r="B63" s="7" t="s">
        <v>11</v>
      </c>
      <c r="C63" s="8" t="s">
        <v>203</v>
      </c>
      <c r="D63" s="2">
        <v>4.3</v>
      </c>
      <c r="E63" s="2">
        <v>4.38</v>
      </c>
      <c r="F63" s="2">
        <v>4.22</v>
      </c>
      <c r="G63" s="2">
        <v>4.38</v>
      </c>
      <c r="H63" s="17">
        <v>46738</v>
      </c>
      <c r="I63" s="11">
        <v>493.99</v>
      </c>
      <c r="J63" s="14">
        <v>112782052</v>
      </c>
      <c r="K63">
        <f t="shared" si="0"/>
        <v>45559</v>
      </c>
      <c r="L63" s="20">
        <f t="shared" si="5"/>
        <v>1.8604651162790642E-2</v>
      </c>
      <c r="M63" s="24">
        <f t="shared" si="1"/>
        <v>232.55813953488374</v>
      </c>
      <c r="N63" s="11">
        <f t="shared" si="2"/>
        <v>1018.6046511627908</v>
      </c>
      <c r="O63" s="20">
        <f t="shared" si="3"/>
        <v>1.8604651162790788E-2</v>
      </c>
      <c r="P63" s="2">
        <f t="shared" si="4"/>
        <v>0.16000000000000014</v>
      </c>
    </row>
    <row r="64" spans="1:16" ht="15" customHeight="1" x14ac:dyDescent="0.15">
      <c r="A64" s="7" t="s">
        <v>10</v>
      </c>
      <c r="B64" s="7" t="s">
        <v>11</v>
      </c>
      <c r="C64" s="8" t="s">
        <v>202</v>
      </c>
      <c r="D64" s="2">
        <v>4.37</v>
      </c>
      <c r="E64" s="2">
        <v>4.4000000000000004</v>
      </c>
      <c r="F64" s="2">
        <v>4.22</v>
      </c>
      <c r="G64" s="2">
        <v>4.26</v>
      </c>
      <c r="H64" s="17">
        <v>102320</v>
      </c>
      <c r="I64" s="11">
        <v>480.45</v>
      </c>
      <c r="J64" s="14">
        <v>112782052</v>
      </c>
      <c r="K64">
        <f t="shared" si="0"/>
        <v>45560</v>
      </c>
      <c r="L64" s="20">
        <f t="shared" si="5"/>
        <v>-9.302325581395321E-3</v>
      </c>
      <c r="M64" s="24">
        <f t="shared" si="1"/>
        <v>232.55813953488374</v>
      </c>
      <c r="N64" s="11">
        <f t="shared" si="2"/>
        <v>990.69767441860472</v>
      </c>
      <c r="O64" s="20">
        <f t="shared" si="3"/>
        <v>-9.3023255813952793E-3</v>
      </c>
      <c r="P64" s="2">
        <f t="shared" si="4"/>
        <v>0.1800000000000006</v>
      </c>
    </row>
    <row r="65" spans="1:16" ht="15" customHeight="1" x14ac:dyDescent="0.15">
      <c r="A65" s="7" t="s">
        <v>10</v>
      </c>
      <c r="B65" s="7" t="s">
        <v>11</v>
      </c>
      <c r="C65" s="8" t="s">
        <v>201</v>
      </c>
      <c r="D65" s="2">
        <v>4.26</v>
      </c>
      <c r="E65" s="2">
        <v>4.32</v>
      </c>
      <c r="F65" s="2">
        <v>4.2</v>
      </c>
      <c r="G65" s="2">
        <v>4.22</v>
      </c>
      <c r="H65" s="17">
        <v>102330</v>
      </c>
      <c r="I65" s="11">
        <v>475.94</v>
      </c>
      <c r="J65" s="14">
        <v>112782052</v>
      </c>
      <c r="K65">
        <f t="shared" si="0"/>
        <v>45561</v>
      </c>
      <c r="L65" s="20">
        <f t="shared" si="5"/>
        <v>-1.8604651162790753E-2</v>
      </c>
      <c r="M65" s="24">
        <f t="shared" si="1"/>
        <v>232.55813953488374</v>
      </c>
      <c r="N65" s="11">
        <f t="shared" si="2"/>
        <v>981.39534883720933</v>
      </c>
      <c r="O65" s="20">
        <f t="shared" si="3"/>
        <v>-1.8604651162790673E-2</v>
      </c>
      <c r="P65" s="2">
        <f t="shared" si="4"/>
        <v>0.12000000000000011</v>
      </c>
    </row>
    <row r="66" spans="1:16" ht="15" customHeight="1" x14ac:dyDescent="0.15">
      <c r="A66" s="7" t="s">
        <v>10</v>
      </c>
      <c r="B66" s="7" t="s">
        <v>11</v>
      </c>
      <c r="C66" s="8" t="s">
        <v>200</v>
      </c>
      <c r="D66" s="2">
        <v>4.3</v>
      </c>
      <c r="E66" s="2">
        <v>4.33</v>
      </c>
      <c r="F66" s="2">
        <v>4.2</v>
      </c>
      <c r="G66" s="2">
        <v>4.32</v>
      </c>
      <c r="H66" s="17">
        <v>51360</v>
      </c>
      <c r="I66" s="11">
        <v>487.22</v>
      </c>
      <c r="J66" s="14">
        <v>112782052</v>
      </c>
      <c r="K66">
        <f t="shared" ref="K66:K129" si="6">DATEVALUE(C66)</f>
        <v>45562</v>
      </c>
      <c r="L66" s="20">
        <f t="shared" si="5"/>
        <v>4.6511627906977715E-3</v>
      </c>
      <c r="M66" s="24">
        <f t="shared" si="1"/>
        <v>232.55813953488374</v>
      </c>
      <c r="N66" s="11">
        <f t="shared" si="2"/>
        <v>1004.6511627906978</v>
      </c>
      <c r="O66" s="20">
        <f t="shared" si="3"/>
        <v>4.6511627906977542E-3</v>
      </c>
      <c r="P66" s="2">
        <f t="shared" si="4"/>
        <v>0.12999999999999989</v>
      </c>
    </row>
    <row r="67" spans="1:16" ht="15" customHeight="1" x14ac:dyDescent="0.15">
      <c r="A67" s="7" t="s">
        <v>10</v>
      </c>
      <c r="B67" s="7" t="s">
        <v>11</v>
      </c>
      <c r="C67" s="8" t="s">
        <v>199</v>
      </c>
      <c r="D67" s="2">
        <v>4.3099999999999996</v>
      </c>
      <c r="E67" s="2">
        <v>4.4800000000000004</v>
      </c>
      <c r="F67" s="2">
        <v>4.28</v>
      </c>
      <c r="G67" s="2">
        <v>4.37</v>
      </c>
      <c r="H67" s="17">
        <v>69409</v>
      </c>
      <c r="I67" s="11">
        <v>492.86</v>
      </c>
      <c r="J67" s="14">
        <v>112782052</v>
      </c>
      <c r="K67">
        <f t="shared" si="6"/>
        <v>45565</v>
      </c>
      <c r="L67" s="20">
        <f t="shared" si="5"/>
        <v>1.6279069767441978E-2</v>
      </c>
      <c r="M67" s="24">
        <f t="shared" ref="M67:M130" si="7">1000/$G$2</f>
        <v>232.55813953488374</v>
      </c>
      <c r="N67" s="11">
        <f t="shared" ref="N67:N130" si="8">M67*G67</f>
        <v>1016.2790697674419</v>
      </c>
      <c r="O67" s="20">
        <f t="shared" ref="O67:O130" si="9">(N67-1000)/1000</f>
        <v>1.6279069767441912E-2</v>
      </c>
      <c r="P67" s="2">
        <f t="shared" ref="P67:P130" si="10">E67-F67</f>
        <v>0.20000000000000018</v>
      </c>
    </row>
    <row r="68" spans="1:16" ht="15" customHeight="1" x14ac:dyDescent="0.15">
      <c r="A68" s="7" t="s">
        <v>10</v>
      </c>
      <c r="B68" s="7" t="s">
        <v>11</v>
      </c>
      <c r="C68" s="8" t="s">
        <v>198</v>
      </c>
      <c r="D68" s="2">
        <v>4.3600000000000003</v>
      </c>
      <c r="E68" s="2">
        <v>4.49</v>
      </c>
      <c r="F68" s="2">
        <v>4.34</v>
      </c>
      <c r="G68" s="2">
        <v>4.46</v>
      </c>
      <c r="H68" s="17">
        <v>378315</v>
      </c>
      <c r="I68" s="11">
        <v>503.01</v>
      </c>
      <c r="J68" s="14">
        <v>112782052</v>
      </c>
      <c r="K68">
        <f t="shared" si="6"/>
        <v>45566</v>
      </c>
      <c r="L68" s="20">
        <f t="shared" ref="L68:L131" si="11">((G68/$G$2-1))</f>
        <v>3.7209302325581506E-2</v>
      </c>
      <c r="M68" s="24">
        <f t="shared" si="7"/>
        <v>232.55813953488374</v>
      </c>
      <c r="N68" s="11">
        <f t="shared" si="8"/>
        <v>1037.2093023255813</v>
      </c>
      <c r="O68" s="20">
        <f t="shared" si="9"/>
        <v>3.7209302325581346E-2</v>
      </c>
      <c r="P68" s="2">
        <f t="shared" si="10"/>
        <v>0.15000000000000036</v>
      </c>
    </row>
    <row r="69" spans="1:16" ht="15" customHeight="1" x14ac:dyDescent="0.15">
      <c r="A69" s="7" t="s">
        <v>10</v>
      </c>
      <c r="B69" s="7" t="s">
        <v>11</v>
      </c>
      <c r="C69" s="8" t="s">
        <v>197</v>
      </c>
      <c r="D69" s="2">
        <v>4.45</v>
      </c>
      <c r="E69" s="2">
        <v>4.45</v>
      </c>
      <c r="F69" s="2">
        <v>4.26</v>
      </c>
      <c r="G69" s="2">
        <v>4.3</v>
      </c>
      <c r="H69" s="17">
        <v>58755</v>
      </c>
      <c r="I69" s="11">
        <v>484.96</v>
      </c>
      <c r="J69" s="14">
        <v>112782052</v>
      </c>
      <c r="K69">
        <f t="shared" si="6"/>
        <v>45567</v>
      </c>
      <c r="L69" s="20">
        <f t="shared" si="11"/>
        <v>0</v>
      </c>
      <c r="M69" s="24">
        <f t="shared" si="7"/>
        <v>232.55813953488374</v>
      </c>
      <c r="N69" s="11">
        <f t="shared" si="8"/>
        <v>1000</v>
      </c>
      <c r="O69" s="20">
        <f t="shared" si="9"/>
        <v>0</v>
      </c>
      <c r="P69" s="2">
        <f t="shared" si="10"/>
        <v>0.19000000000000039</v>
      </c>
    </row>
    <row r="70" spans="1:16" ht="15" customHeight="1" x14ac:dyDescent="0.15">
      <c r="A70" s="7" t="s">
        <v>10</v>
      </c>
      <c r="B70" s="7" t="s">
        <v>11</v>
      </c>
      <c r="C70" s="8" t="s">
        <v>196</v>
      </c>
      <c r="D70" s="2">
        <v>4.3099999999999996</v>
      </c>
      <c r="E70" s="2">
        <v>4.33</v>
      </c>
      <c r="F70" s="2">
        <v>4.18</v>
      </c>
      <c r="G70" s="2">
        <v>4.2699999999999996</v>
      </c>
      <c r="H70" s="17">
        <v>92234</v>
      </c>
      <c r="I70" s="11">
        <v>481.58</v>
      </c>
      <c r="J70" s="14">
        <v>112782052</v>
      </c>
      <c r="K70">
        <f t="shared" si="6"/>
        <v>45568</v>
      </c>
      <c r="L70" s="20">
        <f t="shared" si="11"/>
        <v>-6.9767441860465462E-3</v>
      </c>
      <c r="M70" s="24">
        <f t="shared" si="7"/>
        <v>232.55813953488374</v>
      </c>
      <c r="N70" s="11">
        <f t="shared" si="8"/>
        <v>993.02325581395348</v>
      </c>
      <c r="O70" s="20">
        <f t="shared" si="9"/>
        <v>-6.9767441860465167E-3</v>
      </c>
      <c r="P70" s="2">
        <f t="shared" si="10"/>
        <v>0.15000000000000036</v>
      </c>
    </row>
    <row r="71" spans="1:16" ht="15" customHeight="1" x14ac:dyDescent="0.15">
      <c r="A71" s="7" t="s">
        <v>10</v>
      </c>
      <c r="B71" s="7" t="s">
        <v>11</v>
      </c>
      <c r="C71" s="8" t="s">
        <v>195</v>
      </c>
      <c r="D71" s="2">
        <v>4.2699999999999996</v>
      </c>
      <c r="E71" s="2">
        <v>4.3499999999999996</v>
      </c>
      <c r="F71" s="2">
        <v>4.24</v>
      </c>
      <c r="G71" s="2">
        <v>4.32</v>
      </c>
      <c r="H71" s="17">
        <v>65019</v>
      </c>
      <c r="I71" s="11">
        <v>487.22</v>
      </c>
      <c r="J71" s="14">
        <v>112782052</v>
      </c>
      <c r="K71">
        <f t="shared" si="6"/>
        <v>45569</v>
      </c>
      <c r="L71" s="20">
        <f t="shared" si="11"/>
        <v>4.6511627906977715E-3</v>
      </c>
      <c r="M71" s="24">
        <f t="shared" si="7"/>
        <v>232.55813953488374</v>
      </c>
      <c r="N71" s="11">
        <f t="shared" si="8"/>
        <v>1004.6511627906978</v>
      </c>
      <c r="O71" s="20">
        <f t="shared" si="9"/>
        <v>4.6511627906977542E-3</v>
      </c>
      <c r="P71" s="2">
        <f t="shared" si="10"/>
        <v>0.10999999999999943</v>
      </c>
    </row>
    <row r="72" spans="1:16" ht="15" customHeight="1" x14ac:dyDescent="0.15">
      <c r="A72" s="7" t="s">
        <v>10</v>
      </c>
      <c r="B72" s="7" t="s">
        <v>11</v>
      </c>
      <c r="C72" s="8" t="s">
        <v>194</v>
      </c>
      <c r="D72" s="2">
        <v>4.3</v>
      </c>
      <c r="E72" s="2">
        <v>4.46</v>
      </c>
      <c r="F72" s="2">
        <v>4.3</v>
      </c>
      <c r="G72" s="2">
        <v>4.4000000000000004</v>
      </c>
      <c r="H72" s="17">
        <v>57132</v>
      </c>
      <c r="I72" s="11">
        <v>496.24</v>
      </c>
      <c r="J72" s="14">
        <v>112782052</v>
      </c>
      <c r="K72">
        <f t="shared" si="6"/>
        <v>45572</v>
      </c>
      <c r="L72" s="20">
        <f t="shared" si="11"/>
        <v>2.3255813953488413E-2</v>
      </c>
      <c r="M72" s="24">
        <f t="shared" si="7"/>
        <v>232.55813953488374</v>
      </c>
      <c r="N72" s="11">
        <f t="shared" si="8"/>
        <v>1023.2558139534885</v>
      </c>
      <c r="O72" s="20">
        <f t="shared" si="9"/>
        <v>2.3255813953488542E-2</v>
      </c>
      <c r="P72" s="2">
        <f t="shared" si="10"/>
        <v>0.16000000000000014</v>
      </c>
    </row>
    <row r="73" spans="1:16" ht="15" customHeight="1" x14ac:dyDescent="0.15">
      <c r="A73" s="7" t="s">
        <v>10</v>
      </c>
      <c r="B73" s="7" t="s">
        <v>11</v>
      </c>
      <c r="C73" s="8" t="s">
        <v>193</v>
      </c>
      <c r="D73" s="2">
        <v>4.42</v>
      </c>
      <c r="E73" s="2">
        <v>4.58</v>
      </c>
      <c r="F73" s="2">
        <v>4.25</v>
      </c>
      <c r="G73" s="2">
        <v>4.28</v>
      </c>
      <c r="H73" s="17">
        <v>99786</v>
      </c>
      <c r="I73" s="11">
        <v>482.71</v>
      </c>
      <c r="J73" s="14">
        <v>112782052</v>
      </c>
      <c r="K73">
        <f t="shared" si="6"/>
        <v>45573</v>
      </c>
      <c r="L73" s="20">
        <f t="shared" si="11"/>
        <v>-4.6511627906975495E-3</v>
      </c>
      <c r="M73" s="24">
        <f t="shared" si="7"/>
        <v>232.55813953488374</v>
      </c>
      <c r="N73" s="11">
        <f t="shared" si="8"/>
        <v>995.34883720930247</v>
      </c>
      <c r="O73" s="20">
        <f t="shared" si="9"/>
        <v>-4.651162790697526E-3</v>
      </c>
      <c r="P73" s="2">
        <f t="shared" si="10"/>
        <v>0.33000000000000007</v>
      </c>
    </row>
    <row r="74" spans="1:16" ht="15" customHeight="1" x14ac:dyDescent="0.15">
      <c r="A74" s="7" t="s">
        <v>10</v>
      </c>
      <c r="B74" s="7" t="s">
        <v>11</v>
      </c>
      <c r="C74" s="8" t="s">
        <v>192</v>
      </c>
      <c r="D74" s="2">
        <v>4.28</v>
      </c>
      <c r="E74" s="2">
        <v>4.3600000000000003</v>
      </c>
      <c r="F74" s="2">
        <v>4.2300000000000004</v>
      </c>
      <c r="G74" s="2">
        <v>4.33</v>
      </c>
      <c r="H74" s="17">
        <v>37374</v>
      </c>
      <c r="I74" s="11">
        <v>488.35</v>
      </c>
      <c r="J74" s="14">
        <v>112782052</v>
      </c>
      <c r="K74">
        <f t="shared" si="6"/>
        <v>45574</v>
      </c>
      <c r="L74" s="20">
        <f t="shared" si="11"/>
        <v>6.9767441860466572E-3</v>
      </c>
      <c r="M74" s="24">
        <f t="shared" si="7"/>
        <v>232.55813953488374</v>
      </c>
      <c r="N74" s="11">
        <f t="shared" si="8"/>
        <v>1006.9767441860466</v>
      </c>
      <c r="O74" s="20">
        <f t="shared" si="9"/>
        <v>6.9767441860466304E-3</v>
      </c>
      <c r="P74" s="2">
        <f t="shared" si="10"/>
        <v>0.12999999999999989</v>
      </c>
    </row>
    <row r="75" spans="1:16" ht="15" customHeight="1" x14ac:dyDescent="0.15">
      <c r="A75" s="7" t="s">
        <v>10</v>
      </c>
      <c r="B75" s="7" t="s">
        <v>11</v>
      </c>
      <c r="C75" s="8" t="s">
        <v>191</v>
      </c>
      <c r="D75" s="2">
        <v>4.34</v>
      </c>
      <c r="E75" s="2">
        <v>4.3600000000000003</v>
      </c>
      <c r="F75" s="2">
        <v>4.26</v>
      </c>
      <c r="G75" s="2">
        <v>4.34</v>
      </c>
      <c r="H75" s="17">
        <v>40658</v>
      </c>
      <c r="I75" s="11">
        <v>489.47</v>
      </c>
      <c r="J75" s="14">
        <v>112782052</v>
      </c>
      <c r="K75">
        <f t="shared" si="6"/>
        <v>45575</v>
      </c>
      <c r="L75" s="20">
        <f t="shared" si="11"/>
        <v>9.302325581395321E-3</v>
      </c>
      <c r="M75" s="24">
        <f t="shared" si="7"/>
        <v>232.55813953488374</v>
      </c>
      <c r="N75" s="11">
        <f t="shared" si="8"/>
        <v>1009.3023255813954</v>
      </c>
      <c r="O75" s="20">
        <f t="shared" si="9"/>
        <v>9.3023255813953938E-3</v>
      </c>
      <c r="P75" s="2">
        <f t="shared" si="10"/>
        <v>0.10000000000000053</v>
      </c>
    </row>
    <row r="76" spans="1:16" ht="15" customHeight="1" x14ac:dyDescent="0.15">
      <c r="A76" s="7" t="s">
        <v>10</v>
      </c>
      <c r="B76" s="7" t="s">
        <v>11</v>
      </c>
      <c r="C76" s="8" t="s">
        <v>190</v>
      </c>
      <c r="D76" s="2">
        <v>4.3</v>
      </c>
      <c r="E76" s="2">
        <v>4.37</v>
      </c>
      <c r="F76" s="2">
        <v>4.28</v>
      </c>
      <c r="G76" s="2">
        <v>4.28</v>
      </c>
      <c r="H76" s="17">
        <v>36643</v>
      </c>
      <c r="I76" s="11">
        <v>482.71</v>
      </c>
      <c r="J76" s="14">
        <v>112782052</v>
      </c>
      <c r="K76">
        <f t="shared" si="6"/>
        <v>45576</v>
      </c>
      <c r="L76" s="20">
        <f t="shared" si="11"/>
        <v>-4.6511627906975495E-3</v>
      </c>
      <c r="M76" s="24">
        <f t="shared" si="7"/>
        <v>232.55813953488374</v>
      </c>
      <c r="N76" s="11">
        <f t="shared" si="8"/>
        <v>995.34883720930247</v>
      </c>
      <c r="O76" s="20">
        <f t="shared" si="9"/>
        <v>-4.651162790697526E-3</v>
      </c>
      <c r="P76" s="2">
        <f t="shared" si="10"/>
        <v>8.9999999999999858E-2</v>
      </c>
    </row>
    <row r="77" spans="1:16" ht="15" customHeight="1" x14ac:dyDescent="0.15">
      <c r="A77" s="7" t="s">
        <v>10</v>
      </c>
      <c r="B77" s="7" t="s">
        <v>11</v>
      </c>
      <c r="C77" s="8" t="s">
        <v>189</v>
      </c>
      <c r="D77" s="2">
        <v>4.3</v>
      </c>
      <c r="E77" s="2">
        <v>4.3600000000000003</v>
      </c>
      <c r="F77" s="2">
        <v>4.26</v>
      </c>
      <c r="G77" s="2">
        <v>4.32</v>
      </c>
      <c r="H77" s="17">
        <v>80113</v>
      </c>
      <c r="I77" s="11">
        <v>487.22</v>
      </c>
      <c r="J77" s="14">
        <v>112782052</v>
      </c>
      <c r="K77">
        <f t="shared" si="6"/>
        <v>45579</v>
      </c>
      <c r="L77" s="20">
        <f t="shared" si="11"/>
        <v>4.6511627906977715E-3</v>
      </c>
      <c r="M77" s="24">
        <f t="shared" si="7"/>
        <v>232.55813953488374</v>
      </c>
      <c r="N77" s="11">
        <f t="shared" si="8"/>
        <v>1004.6511627906978</v>
      </c>
      <c r="O77" s="20">
        <f t="shared" si="9"/>
        <v>4.6511627906977542E-3</v>
      </c>
      <c r="P77" s="2">
        <f t="shared" si="10"/>
        <v>0.10000000000000053</v>
      </c>
    </row>
    <row r="78" spans="1:16" ht="15" customHeight="1" x14ac:dyDescent="0.15">
      <c r="A78" s="7" t="s">
        <v>10</v>
      </c>
      <c r="B78" s="7" t="s">
        <v>11</v>
      </c>
      <c r="C78" s="8" t="s">
        <v>188</v>
      </c>
      <c r="D78" s="2">
        <v>4.3499999999999996</v>
      </c>
      <c r="E78" s="2">
        <v>4.3499999999999996</v>
      </c>
      <c r="F78" s="2">
        <v>4.1500000000000004</v>
      </c>
      <c r="G78" s="2">
        <v>4.22</v>
      </c>
      <c r="H78" s="17">
        <v>99294</v>
      </c>
      <c r="I78" s="11">
        <v>475.94</v>
      </c>
      <c r="J78" s="14">
        <v>112782052</v>
      </c>
      <c r="K78">
        <f t="shared" si="6"/>
        <v>45580</v>
      </c>
      <c r="L78" s="20">
        <f t="shared" si="11"/>
        <v>-1.8604651162790753E-2</v>
      </c>
      <c r="M78" s="24">
        <f t="shared" si="7"/>
        <v>232.55813953488374</v>
      </c>
      <c r="N78" s="11">
        <f t="shared" si="8"/>
        <v>981.39534883720933</v>
      </c>
      <c r="O78" s="20">
        <f t="shared" si="9"/>
        <v>-1.8604651162790673E-2</v>
      </c>
      <c r="P78" s="2">
        <f t="shared" si="10"/>
        <v>0.19999999999999929</v>
      </c>
    </row>
    <row r="79" spans="1:16" ht="15" customHeight="1" x14ac:dyDescent="0.15">
      <c r="A79" s="7" t="s">
        <v>10</v>
      </c>
      <c r="B79" s="7" t="s">
        <v>11</v>
      </c>
      <c r="C79" s="8" t="s">
        <v>187</v>
      </c>
      <c r="D79" s="2">
        <v>4.22</v>
      </c>
      <c r="E79" s="2">
        <v>4.22</v>
      </c>
      <c r="F79" s="2">
        <v>4.03</v>
      </c>
      <c r="G79" s="2">
        <v>4.07</v>
      </c>
      <c r="H79" s="17">
        <v>131606</v>
      </c>
      <c r="I79" s="11">
        <v>459.02</v>
      </c>
      <c r="J79" s="14">
        <v>112782052</v>
      </c>
      <c r="K79">
        <f t="shared" si="6"/>
        <v>45581</v>
      </c>
      <c r="L79" s="20">
        <f t="shared" si="11"/>
        <v>-5.3488372093023151E-2</v>
      </c>
      <c r="M79" s="24">
        <f t="shared" si="7"/>
        <v>232.55813953488374</v>
      </c>
      <c r="N79" s="11">
        <f t="shared" si="8"/>
        <v>946.51162790697686</v>
      </c>
      <c r="O79" s="20">
        <f t="shared" si="9"/>
        <v>-5.3488372093023144E-2</v>
      </c>
      <c r="P79" s="2">
        <f t="shared" si="10"/>
        <v>0.1899999999999995</v>
      </c>
    </row>
    <row r="80" spans="1:16" ht="15" customHeight="1" x14ac:dyDescent="0.15">
      <c r="A80" s="7" t="s">
        <v>10</v>
      </c>
      <c r="B80" s="7" t="s">
        <v>11</v>
      </c>
      <c r="C80" s="8" t="s">
        <v>186</v>
      </c>
      <c r="D80" s="2">
        <v>4.0999999999999996</v>
      </c>
      <c r="E80" s="2">
        <v>4.1900000000000004</v>
      </c>
      <c r="F80" s="2">
        <v>4.09</v>
      </c>
      <c r="G80" s="2">
        <v>4.1500000000000004</v>
      </c>
      <c r="H80" s="17">
        <v>419617</v>
      </c>
      <c r="I80" s="11">
        <v>468.05</v>
      </c>
      <c r="J80" s="14">
        <v>112782052</v>
      </c>
      <c r="K80">
        <f t="shared" si="6"/>
        <v>45582</v>
      </c>
      <c r="L80" s="20">
        <f t="shared" si="11"/>
        <v>-3.4883720930232398E-2</v>
      </c>
      <c r="M80" s="24">
        <f t="shared" si="7"/>
        <v>232.55813953488374</v>
      </c>
      <c r="N80" s="11">
        <f t="shared" si="8"/>
        <v>965.11627906976764</v>
      </c>
      <c r="O80" s="20">
        <f t="shared" si="9"/>
        <v>-3.4883720930232356E-2</v>
      </c>
      <c r="P80" s="2">
        <f t="shared" si="10"/>
        <v>0.10000000000000053</v>
      </c>
    </row>
    <row r="81" spans="1:16" ht="15" customHeight="1" x14ac:dyDescent="0.15">
      <c r="A81" s="7" t="s">
        <v>10</v>
      </c>
      <c r="B81" s="7" t="s">
        <v>11</v>
      </c>
      <c r="C81" s="8" t="s">
        <v>185</v>
      </c>
      <c r="D81" s="2">
        <v>4.21</v>
      </c>
      <c r="E81" s="2">
        <v>4.24</v>
      </c>
      <c r="F81" s="2">
        <v>4.07</v>
      </c>
      <c r="G81" s="2">
        <v>4.18</v>
      </c>
      <c r="H81" s="17">
        <v>81251</v>
      </c>
      <c r="I81" s="11">
        <v>471.43</v>
      </c>
      <c r="J81" s="14">
        <v>112782052</v>
      </c>
      <c r="K81">
        <f t="shared" si="6"/>
        <v>45583</v>
      </c>
      <c r="L81" s="20">
        <f t="shared" si="11"/>
        <v>-2.7906976744186074E-2</v>
      </c>
      <c r="M81" s="24">
        <f t="shared" si="7"/>
        <v>232.55813953488374</v>
      </c>
      <c r="N81" s="11">
        <f t="shared" si="8"/>
        <v>972.09302325581393</v>
      </c>
      <c r="O81" s="20">
        <f t="shared" si="9"/>
        <v>-2.7906976744186067E-2</v>
      </c>
      <c r="P81" s="2">
        <f t="shared" si="10"/>
        <v>0.16999999999999993</v>
      </c>
    </row>
    <row r="82" spans="1:16" ht="15" customHeight="1" x14ac:dyDescent="0.15">
      <c r="A82" s="7" t="s">
        <v>10</v>
      </c>
      <c r="B82" s="7" t="s">
        <v>11</v>
      </c>
      <c r="C82" s="8" t="s">
        <v>184</v>
      </c>
      <c r="D82" s="2">
        <v>4.1399999999999997</v>
      </c>
      <c r="E82" s="2">
        <v>4.2699999999999996</v>
      </c>
      <c r="F82" s="2">
        <v>4.07</v>
      </c>
      <c r="G82" s="2">
        <v>4.1900000000000004</v>
      </c>
      <c r="H82" s="17">
        <v>68231</v>
      </c>
      <c r="I82" s="11">
        <v>472.56</v>
      </c>
      <c r="J82" s="14">
        <v>112782052</v>
      </c>
      <c r="K82">
        <f t="shared" si="6"/>
        <v>45586</v>
      </c>
      <c r="L82" s="20">
        <f t="shared" si="11"/>
        <v>-2.5581395348837077E-2</v>
      </c>
      <c r="M82" s="24">
        <f t="shared" si="7"/>
        <v>232.55813953488374</v>
      </c>
      <c r="N82" s="11">
        <f t="shared" si="8"/>
        <v>974.41860465116292</v>
      </c>
      <c r="O82" s="20">
        <f t="shared" si="9"/>
        <v>-2.5581395348837077E-2</v>
      </c>
      <c r="P82" s="2">
        <f t="shared" si="10"/>
        <v>0.19999999999999929</v>
      </c>
    </row>
    <row r="83" spans="1:16" ht="15" customHeight="1" x14ac:dyDescent="0.15">
      <c r="A83" s="7" t="s">
        <v>10</v>
      </c>
      <c r="B83" s="7" t="s">
        <v>11</v>
      </c>
      <c r="C83" s="8" t="s">
        <v>183</v>
      </c>
      <c r="D83" s="2">
        <v>4.12</v>
      </c>
      <c r="E83" s="2">
        <v>4.1900000000000004</v>
      </c>
      <c r="F83" s="2">
        <v>4.0999999999999996</v>
      </c>
      <c r="G83" s="2">
        <v>4.13</v>
      </c>
      <c r="H83" s="17">
        <v>63518</v>
      </c>
      <c r="I83" s="11">
        <v>465.79</v>
      </c>
      <c r="J83" s="14">
        <v>112782052</v>
      </c>
      <c r="K83">
        <f t="shared" si="6"/>
        <v>45587</v>
      </c>
      <c r="L83" s="20">
        <f t="shared" si="11"/>
        <v>-3.953488372093017E-2</v>
      </c>
      <c r="M83" s="24">
        <f t="shared" si="7"/>
        <v>232.55813953488374</v>
      </c>
      <c r="N83" s="11">
        <f t="shared" si="8"/>
        <v>960.46511627906978</v>
      </c>
      <c r="O83" s="20">
        <f t="shared" si="9"/>
        <v>-3.9534883720930225E-2</v>
      </c>
      <c r="P83" s="2">
        <f t="shared" si="10"/>
        <v>9.0000000000000746E-2</v>
      </c>
    </row>
    <row r="84" spans="1:16" ht="15" customHeight="1" x14ac:dyDescent="0.15">
      <c r="A84" s="7" t="s">
        <v>10</v>
      </c>
      <c r="B84" s="7" t="s">
        <v>11</v>
      </c>
      <c r="C84" s="8" t="s">
        <v>182</v>
      </c>
      <c r="D84" s="2">
        <v>4.16</v>
      </c>
      <c r="E84" s="2">
        <v>4.17</v>
      </c>
      <c r="F84" s="2">
        <v>4.05</v>
      </c>
      <c r="G84" s="2">
        <v>4.09</v>
      </c>
      <c r="H84" s="17">
        <v>63900</v>
      </c>
      <c r="I84" s="11">
        <v>461.28</v>
      </c>
      <c r="J84" s="14">
        <v>112782052</v>
      </c>
      <c r="K84">
        <f t="shared" si="6"/>
        <v>45588</v>
      </c>
      <c r="L84" s="20">
        <f t="shared" si="11"/>
        <v>-4.8837209302325602E-2</v>
      </c>
      <c r="M84" s="24">
        <f t="shared" si="7"/>
        <v>232.55813953488374</v>
      </c>
      <c r="N84" s="11">
        <f t="shared" si="8"/>
        <v>951.1627906976745</v>
      </c>
      <c r="O84" s="20">
        <f t="shared" si="9"/>
        <v>-4.8837209302325504E-2</v>
      </c>
      <c r="P84" s="2">
        <f t="shared" si="10"/>
        <v>0.12000000000000011</v>
      </c>
    </row>
    <row r="85" spans="1:16" ht="15" customHeight="1" x14ac:dyDescent="0.15">
      <c r="A85" s="7" t="s">
        <v>10</v>
      </c>
      <c r="B85" s="7" t="s">
        <v>11</v>
      </c>
      <c r="C85" s="8" t="s">
        <v>181</v>
      </c>
      <c r="D85" s="2">
        <v>4.03</v>
      </c>
      <c r="E85" s="2">
        <v>4.12</v>
      </c>
      <c r="F85" s="2">
        <v>4.03</v>
      </c>
      <c r="G85" s="2">
        <v>4.04</v>
      </c>
      <c r="H85" s="17">
        <v>77098</v>
      </c>
      <c r="I85" s="11">
        <v>455.64</v>
      </c>
      <c r="J85" s="14">
        <v>112782052</v>
      </c>
      <c r="K85">
        <f t="shared" si="6"/>
        <v>45589</v>
      </c>
      <c r="L85" s="20">
        <f t="shared" si="11"/>
        <v>-6.0465116279069697E-2</v>
      </c>
      <c r="M85" s="24">
        <f t="shared" si="7"/>
        <v>232.55813953488374</v>
      </c>
      <c r="N85" s="11">
        <f t="shared" si="8"/>
        <v>939.53488372093034</v>
      </c>
      <c r="O85" s="20">
        <f t="shared" si="9"/>
        <v>-6.0465116279069663E-2</v>
      </c>
      <c r="P85" s="2">
        <f t="shared" si="10"/>
        <v>8.9999999999999858E-2</v>
      </c>
    </row>
    <row r="86" spans="1:16" ht="15" customHeight="1" x14ac:dyDescent="0.15">
      <c r="A86" s="7" t="s">
        <v>10</v>
      </c>
      <c r="B86" s="7" t="s">
        <v>11</v>
      </c>
      <c r="C86" s="8" t="s">
        <v>180</v>
      </c>
      <c r="D86" s="2">
        <v>4.03</v>
      </c>
      <c r="E86" s="2">
        <v>4.1399999999999997</v>
      </c>
      <c r="F86" s="2">
        <v>4.0199999999999996</v>
      </c>
      <c r="G86" s="2">
        <v>4.04</v>
      </c>
      <c r="H86" s="17">
        <v>62981</v>
      </c>
      <c r="I86" s="11">
        <v>455.64</v>
      </c>
      <c r="J86" s="14">
        <v>112782052</v>
      </c>
      <c r="K86">
        <f t="shared" si="6"/>
        <v>45590</v>
      </c>
      <c r="L86" s="20">
        <f t="shared" si="11"/>
        <v>-6.0465116279069697E-2</v>
      </c>
      <c r="M86" s="24">
        <f t="shared" si="7"/>
        <v>232.55813953488374</v>
      </c>
      <c r="N86" s="11">
        <f t="shared" si="8"/>
        <v>939.53488372093034</v>
      </c>
      <c r="O86" s="20">
        <f t="shared" si="9"/>
        <v>-6.0465116279069663E-2</v>
      </c>
      <c r="P86" s="2">
        <f t="shared" si="10"/>
        <v>0.12000000000000011</v>
      </c>
    </row>
    <row r="87" spans="1:16" ht="15" customHeight="1" x14ac:dyDescent="0.15">
      <c r="A87" s="7" t="s">
        <v>10</v>
      </c>
      <c r="B87" s="7" t="s">
        <v>11</v>
      </c>
      <c r="C87" s="8" t="s">
        <v>179</v>
      </c>
      <c r="D87" s="2">
        <v>4.0199999999999996</v>
      </c>
      <c r="E87" s="2">
        <v>4.18</v>
      </c>
      <c r="F87" s="2">
        <v>4.01</v>
      </c>
      <c r="G87" s="2">
        <v>4.1500000000000004</v>
      </c>
      <c r="H87" s="17">
        <v>51658</v>
      </c>
      <c r="I87" s="11">
        <v>468.05</v>
      </c>
      <c r="J87" s="14">
        <v>112782052</v>
      </c>
      <c r="K87">
        <f t="shared" si="6"/>
        <v>45593</v>
      </c>
      <c r="L87" s="20">
        <f t="shared" si="11"/>
        <v>-3.4883720930232398E-2</v>
      </c>
      <c r="M87" s="24">
        <f t="shared" si="7"/>
        <v>232.55813953488374</v>
      </c>
      <c r="N87" s="11">
        <f t="shared" si="8"/>
        <v>965.11627906976764</v>
      </c>
      <c r="O87" s="20">
        <f t="shared" si="9"/>
        <v>-3.4883720930232356E-2</v>
      </c>
      <c r="P87" s="2">
        <f t="shared" si="10"/>
        <v>0.16999999999999993</v>
      </c>
    </row>
    <row r="88" spans="1:16" ht="15" customHeight="1" x14ac:dyDescent="0.15">
      <c r="A88" s="7" t="s">
        <v>10</v>
      </c>
      <c r="B88" s="7" t="s">
        <v>11</v>
      </c>
      <c r="C88" s="8" t="s">
        <v>178</v>
      </c>
      <c r="D88" s="2">
        <v>4.1399999999999997</v>
      </c>
      <c r="E88" s="2">
        <v>4.28</v>
      </c>
      <c r="F88" s="2">
        <v>4.1100000000000003</v>
      </c>
      <c r="G88" s="2">
        <v>4.26</v>
      </c>
      <c r="H88" s="17">
        <v>72247</v>
      </c>
      <c r="I88" s="11">
        <v>480.45</v>
      </c>
      <c r="J88" s="14">
        <v>112782052</v>
      </c>
      <c r="K88">
        <f t="shared" si="6"/>
        <v>45594</v>
      </c>
      <c r="L88" s="20">
        <f t="shared" si="11"/>
        <v>-9.302325581395321E-3</v>
      </c>
      <c r="M88" s="24">
        <f t="shared" si="7"/>
        <v>232.55813953488374</v>
      </c>
      <c r="N88" s="11">
        <f t="shared" si="8"/>
        <v>990.69767441860472</v>
      </c>
      <c r="O88" s="20">
        <f t="shared" si="9"/>
        <v>-9.3023255813952793E-3</v>
      </c>
      <c r="P88" s="2">
        <f t="shared" si="10"/>
        <v>0.16999999999999993</v>
      </c>
    </row>
    <row r="89" spans="1:16" ht="15" customHeight="1" x14ac:dyDescent="0.15">
      <c r="A89" s="7" t="s">
        <v>10</v>
      </c>
      <c r="B89" s="7" t="s">
        <v>11</v>
      </c>
      <c r="C89" s="8" t="s">
        <v>177</v>
      </c>
      <c r="D89" s="2">
        <v>4.28</v>
      </c>
      <c r="E89" s="2">
        <v>4.45</v>
      </c>
      <c r="F89" s="2">
        <v>4.26</v>
      </c>
      <c r="G89" s="2">
        <v>4.45</v>
      </c>
      <c r="H89" s="17">
        <v>544406</v>
      </c>
      <c r="I89" s="11">
        <v>501.88</v>
      </c>
      <c r="J89" s="14">
        <v>112782052</v>
      </c>
      <c r="K89">
        <f t="shared" si="6"/>
        <v>45595</v>
      </c>
      <c r="L89" s="20">
        <f t="shared" si="11"/>
        <v>3.488372093023262E-2</v>
      </c>
      <c r="M89" s="24">
        <f t="shared" si="7"/>
        <v>232.55813953488374</v>
      </c>
      <c r="N89" s="11">
        <f t="shared" si="8"/>
        <v>1034.8837209302326</v>
      </c>
      <c r="O89" s="20">
        <f t="shared" si="9"/>
        <v>3.4883720930232585E-2</v>
      </c>
      <c r="P89" s="2">
        <f t="shared" si="10"/>
        <v>0.19000000000000039</v>
      </c>
    </row>
    <row r="90" spans="1:16" ht="15" customHeight="1" x14ac:dyDescent="0.15">
      <c r="A90" s="7" t="s">
        <v>10</v>
      </c>
      <c r="B90" s="7" t="s">
        <v>11</v>
      </c>
      <c r="C90" s="8" t="s">
        <v>176</v>
      </c>
      <c r="D90" s="2">
        <v>4.46</v>
      </c>
      <c r="E90" s="2">
        <v>4.57</v>
      </c>
      <c r="F90" s="2">
        <v>4.38</v>
      </c>
      <c r="G90" s="2">
        <v>4.5</v>
      </c>
      <c r="H90" s="17">
        <v>107438</v>
      </c>
      <c r="I90" s="11">
        <v>507.52</v>
      </c>
      <c r="J90" s="14">
        <v>112782052</v>
      </c>
      <c r="K90">
        <f t="shared" si="6"/>
        <v>45596</v>
      </c>
      <c r="L90" s="20">
        <f t="shared" si="11"/>
        <v>4.6511627906976827E-2</v>
      </c>
      <c r="M90" s="24">
        <f t="shared" si="7"/>
        <v>232.55813953488374</v>
      </c>
      <c r="N90" s="11">
        <f t="shared" si="8"/>
        <v>1046.5116279069769</v>
      </c>
      <c r="O90" s="20">
        <f t="shared" si="9"/>
        <v>4.6511627906976855E-2</v>
      </c>
      <c r="P90" s="2">
        <f t="shared" si="10"/>
        <v>0.19000000000000039</v>
      </c>
    </row>
    <row r="91" spans="1:16" ht="15" customHeight="1" x14ac:dyDescent="0.15">
      <c r="A91" s="7" t="s">
        <v>10</v>
      </c>
      <c r="B91" s="7" t="s">
        <v>11</v>
      </c>
      <c r="C91" s="8" t="s">
        <v>175</v>
      </c>
      <c r="D91" s="2">
        <v>4.5</v>
      </c>
      <c r="E91" s="2">
        <v>4.5</v>
      </c>
      <c r="F91" s="2">
        <v>4.32</v>
      </c>
      <c r="G91" s="2">
        <v>4.4000000000000004</v>
      </c>
      <c r="H91" s="17">
        <v>56247</v>
      </c>
      <c r="I91" s="11">
        <v>496.24</v>
      </c>
      <c r="J91" s="14">
        <v>112782052</v>
      </c>
      <c r="K91">
        <f t="shared" si="6"/>
        <v>45597</v>
      </c>
      <c r="L91" s="20">
        <f t="shared" si="11"/>
        <v>2.3255813953488413E-2</v>
      </c>
      <c r="M91" s="24">
        <f t="shared" si="7"/>
        <v>232.55813953488374</v>
      </c>
      <c r="N91" s="11">
        <f t="shared" si="8"/>
        <v>1023.2558139534885</v>
      </c>
      <c r="O91" s="20">
        <f t="shared" si="9"/>
        <v>2.3255813953488542E-2</v>
      </c>
      <c r="P91" s="2">
        <f t="shared" si="10"/>
        <v>0.17999999999999972</v>
      </c>
    </row>
    <row r="92" spans="1:16" ht="15" customHeight="1" x14ac:dyDescent="0.15">
      <c r="A92" s="7" t="s">
        <v>10</v>
      </c>
      <c r="B92" s="7" t="s">
        <v>11</v>
      </c>
      <c r="C92" s="8" t="s">
        <v>174</v>
      </c>
      <c r="D92" s="2">
        <v>4.3899999999999997</v>
      </c>
      <c r="E92" s="2">
        <v>4.4000000000000004</v>
      </c>
      <c r="F92" s="2">
        <v>4.3</v>
      </c>
      <c r="G92" s="2">
        <v>4.34</v>
      </c>
      <c r="H92" s="17">
        <v>82128</v>
      </c>
      <c r="I92" s="11">
        <v>489.47</v>
      </c>
      <c r="J92" s="14">
        <v>112782052</v>
      </c>
      <c r="K92">
        <f t="shared" si="6"/>
        <v>45600</v>
      </c>
      <c r="L92" s="20">
        <f t="shared" si="11"/>
        <v>9.302325581395321E-3</v>
      </c>
      <c r="M92" s="24">
        <f t="shared" si="7"/>
        <v>232.55813953488374</v>
      </c>
      <c r="N92" s="11">
        <f t="shared" si="8"/>
        <v>1009.3023255813954</v>
      </c>
      <c r="O92" s="20">
        <f t="shared" si="9"/>
        <v>9.3023255813953938E-3</v>
      </c>
      <c r="P92" s="2">
        <f t="shared" si="10"/>
        <v>0.10000000000000053</v>
      </c>
    </row>
    <row r="93" spans="1:16" ht="15" customHeight="1" x14ac:dyDescent="0.15">
      <c r="A93" s="7" t="s">
        <v>10</v>
      </c>
      <c r="B93" s="7" t="s">
        <v>11</v>
      </c>
      <c r="C93" s="8" t="s">
        <v>173</v>
      </c>
      <c r="D93" s="2">
        <v>4.3</v>
      </c>
      <c r="E93" s="2">
        <v>4.3499999999999996</v>
      </c>
      <c r="F93" s="2">
        <v>4.26</v>
      </c>
      <c r="G93" s="2">
        <v>4.3</v>
      </c>
      <c r="H93" s="17">
        <v>60588</v>
      </c>
      <c r="I93" s="11">
        <v>484.96</v>
      </c>
      <c r="J93" s="14">
        <v>112782052</v>
      </c>
      <c r="K93">
        <f t="shared" si="6"/>
        <v>45601</v>
      </c>
      <c r="L93" s="20">
        <f t="shared" si="11"/>
        <v>0</v>
      </c>
      <c r="M93" s="24">
        <f t="shared" si="7"/>
        <v>232.55813953488374</v>
      </c>
      <c r="N93" s="11">
        <f t="shared" si="8"/>
        <v>1000</v>
      </c>
      <c r="O93" s="20">
        <f t="shared" si="9"/>
        <v>0</v>
      </c>
      <c r="P93" s="2">
        <f t="shared" si="10"/>
        <v>8.9999999999999858E-2</v>
      </c>
    </row>
    <row r="94" spans="1:16" ht="15" customHeight="1" x14ac:dyDescent="0.15">
      <c r="A94" s="7" t="s">
        <v>10</v>
      </c>
      <c r="B94" s="7" t="s">
        <v>11</v>
      </c>
      <c r="C94" s="8" t="s">
        <v>172</v>
      </c>
      <c r="D94" s="2">
        <v>4.33</v>
      </c>
      <c r="E94" s="2">
        <v>4.45</v>
      </c>
      <c r="F94" s="2">
        <v>4.33</v>
      </c>
      <c r="G94" s="2">
        <v>4.42</v>
      </c>
      <c r="H94" s="17">
        <v>69587</v>
      </c>
      <c r="I94" s="11">
        <v>498.5</v>
      </c>
      <c r="J94" s="14">
        <v>112782052</v>
      </c>
      <c r="K94">
        <f t="shared" si="6"/>
        <v>45602</v>
      </c>
      <c r="L94" s="20">
        <f t="shared" si="11"/>
        <v>2.7906976744185963E-2</v>
      </c>
      <c r="M94" s="24">
        <f t="shared" si="7"/>
        <v>232.55813953488374</v>
      </c>
      <c r="N94" s="11">
        <f t="shared" si="8"/>
        <v>1027.9069767441861</v>
      </c>
      <c r="O94" s="20">
        <f t="shared" si="9"/>
        <v>2.7906976744186067E-2</v>
      </c>
      <c r="P94" s="2">
        <f t="shared" si="10"/>
        <v>0.12000000000000011</v>
      </c>
    </row>
    <row r="95" spans="1:16" ht="15" customHeight="1" x14ac:dyDescent="0.15">
      <c r="A95" s="7" t="s">
        <v>10</v>
      </c>
      <c r="B95" s="7" t="s">
        <v>11</v>
      </c>
      <c r="C95" s="8" t="s">
        <v>171</v>
      </c>
      <c r="D95" s="2">
        <v>4.42</v>
      </c>
      <c r="E95" s="2">
        <v>4.66</v>
      </c>
      <c r="F95" s="2">
        <v>4.42</v>
      </c>
      <c r="G95" s="2">
        <v>4.5199999999999996</v>
      </c>
      <c r="H95" s="17">
        <v>89550</v>
      </c>
      <c r="I95" s="11">
        <v>509.77</v>
      </c>
      <c r="J95" s="14">
        <v>112782052</v>
      </c>
      <c r="K95">
        <f t="shared" si="6"/>
        <v>45603</v>
      </c>
      <c r="L95" s="20">
        <f t="shared" si="11"/>
        <v>5.1162790697674376E-2</v>
      </c>
      <c r="M95" s="24">
        <f t="shared" si="7"/>
        <v>232.55813953488374</v>
      </c>
      <c r="N95" s="11">
        <f t="shared" si="8"/>
        <v>1051.1627906976744</v>
      </c>
      <c r="O95" s="20">
        <f t="shared" si="9"/>
        <v>5.1162790697674383E-2</v>
      </c>
      <c r="P95" s="2">
        <f t="shared" si="10"/>
        <v>0.24000000000000021</v>
      </c>
    </row>
    <row r="96" spans="1:16" ht="15" customHeight="1" x14ac:dyDescent="0.15">
      <c r="A96" s="7" t="s">
        <v>10</v>
      </c>
      <c r="B96" s="7" t="s">
        <v>11</v>
      </c>
      <c r="C96" s="8" t="s">
        <v>170</v>
      </c>
      <c r="D96" s="2">
        <v>4.55</v>
      </c>
      <c r="E96" s="2">
        <v>4.5599999999999996</v>
      </c>
      <c r="F96" s="2">
        <v>4.4800000000000004</v>
      </c>
      <c r="G96" s="2">
        <v>4.5199999999999996</v>
      </c>
      <c r="H96" s="17">
        <v>57019</v>
      </c>
      <c r="I96" s="11">
        <v>509.77</v>
      </c>
      <c r="J96" s="14">
        <v>112782052</v>
      </c>
      <c r="K96">
        <f t="shared" si="6"/>
        <v>45604</v>
      </c>
      <c r="L96" s="20">
        <f t="shared" si="11"/>
        <v>5.1162790697674376E-2</v>
      </c>
      <c r="M96" s="24">
        <f t="shared" si="7"/>
        <v>232.55813953488374</v>
      </c>
      <c r="N96" s="11">
        <f t="shared" si="8"/>
        <v>1051.1627906976744</v>
      </c>
      <c r="O96" s="20">
        <f t="shared" si="9"/>
        <v>5.1162790697674383E-2</v>
      </c>
      <c r="P96" s="2">
        <f t="shared" si="10"/>
        <v>7.9999999999999183E-2</v>
      </c>
    </row>
    <row r="97" spans="1:16" ht="15" customHeight="1" x14ac:dyDescent="0.15">
      <c r="A97" s="7" t="s">
        <v>10</v>
      </c>
      <c r="B97" s="7" t="s">
        <v>11</v>
      </c>
      <c r="C97" s="8" t="s">
        <v>169</v>
      </c>
      <c r="D97" s="2">
        <v>4.5</v>
      </c>
      <c r="E97" s="2">
        <v>4.66</v>
      </c>
      <c r="F97" s="2">
        <v>4.5</v>
      </c>
      <c r="G97" s="2">
        <v>4.62</v>
      </c>
      <c r="H97" s="17">
        <v>65756</v>
      </c>
      <c r="I97" s="11">
        <v>521.04999999999995</v>
      </c>
      <c r="J97" s="14">
        <v>112782052</v>
      </c>
      <c r="K97">
        <f t="shared" si="6"/>
        <v>45607</v>
      </c>
      <c r="L97" s="20">
        <f t="shared" si="11"/>
        <v>7.441860465116279E-2</v>
      </c>
      <c r="M97" s="24">
        <f t="shared" si="7"/>
        <v>232.55813953488374</v>
      </c>
      <c r="N97" s="11">
        <f t="shared" si="8"/>
        <v>1074.4186046511629</v>
      </c>
      <c r="O97" s="20">
        <f t="shared" si="9"/>
        <v>7.4418604651162928E-2</v>
      </c>
      <c r="P97" s="2">
        <f t="shared" si="10"/>
        <v>0.16000000000000014</v>
      </c>
    </row>
    <row r="98" spans="1:16" ht="15" customHeight="1" x14ac:dyDescent="0.15">
      <c r="A98" s="7" t="s">
        <v>10</v>
      </c>
      <c r="B98" s="7" t="s">
        <v>11</v>
      </c>
      <c r="C98" s="8" t="s">
        <v>168</v>
      </c>
      <c r="D98" s="2">
        <v>4.6500000000000004</v>
      </c>
      <c r="E98" s="2">
        <v>4.68</v>
      </c>
      <c r="F98" s="2">
        <v>4.5</v>
      </c>
      <c r="G98" s="2">
        <v>4.53</v>
      </c>
      <c r="H98" s="17">
        <v>141209</v>
      </c>
      <c r="I98" s="11">
        <v>510.9</v>
      </c>
      <c r="J98" s="14">
        <v>112782052</v>
      </c>
      <c r="K98">
        <f t="shared" si="6"/>
        <v>45608</v>
      </c>
      <c r="L98" s="20">
        <f t="shared" si="11"/>
        <v>5.3488372093023262E-2</v>
      </c>
      <c r="M98" s="24">
        <f t="shared" si="7"/>
        <v>232.55813953488374</v>
      </c>
      <c r="N98" s="11">
        <f t="shared" si="8"/>
        <v>1053.4883720930234</v>
      </c>
      <c r="O98" s="20">
        <f t="shared" si="9"/>
        <v>5.3488372093023373E-2</v>
      </c>
      <c r="P98" s="2">
        <f t="shared" si="10"/>
        <v>0.17999999999999972</v>
      </c>
    </row>
    <row r="99" spans="1:16" ht="15" customHeight="1" x14ac:dyDescent="0.15">
      <c r="A99" s="7" t="s">
        <v>10</v>
      </c>
      <c r="B99" s="7" t="s">
        <v>11</v>
      </c>
      <c r="C99" s="8" t="s">
        <v>167</v>
      </c>
      <c r="D99" s="2">
        <v>4.49</v>
      </c>
      <c r="E99" s="2">
        <v>4.5250000000000004</v>
      </c>
      <c r="F99" s="2">
        <v>4.45</v>
      </c>
      <c r="G99" s="2">
        <v>4.5199999999999996</v>
      </c>
      <c r="H99" s="17">
        <v>50801</v>
      </c>
      <c r="I99" s="11">
        <v>509.77</v>
      </c>
      <c r="J99" s="14">
        <v>112782052</v>
      </c>
      <c r="K99">
        <f t="shared" si="6"/>
        <v>45609</v>
      </c>
      <c r="L99" s="20">
        <f t="shared" si="11"/>
        <v>5.1162790697674376E-2</v>
      </c>
      <c r="M99" s="24">
        <f t="shared" si="7"/>
        <v>232.55813953488374</v>
      </c>
      <c r="N99" s="11">
        <f t="shared" si="8"/>
        <v>1051.1627906976744</v>
      </c>
      <c r="O99" s="20">
        <f t="shared" si="9"/>
        <v>5.1162790697674383E-2</v>
      </c>
      <c r="P99" s="2">
        <f t="shared" si="10"/>
        <v>7.5000000000000178E-2</v>
      </c>
    </row>
    <row r="100" spans="1:16" ht="15" customHeight="1" x14ac:dyDescent="0.15">
      <c r="A100" s="7" t="s">
        <v>10</v>
      </c>
      <c r="B100" s="7" t="s">
        <v>11</v>
      </c>
      <c r="C100" s="8" t="s">
        <v>166</v>
      </c>
      <c r="D100" s="2">
        <v>4.51</v>
      </c>
      <c r="E100" s="2">
        <v>4.6900000000000004</v>
      </c>
      <c r="F100" s="2">
        <v>4.51</v>
      </c>
      <c r="G100" s="2">
        <v>4.55</v>
      </c>
      <c r="H100" s="17">
        <v>186811</v>
      </c>
      <c r="I100" s="11">
        <v>513.16</v>
      </c>
      <c r="J100" s="14">
        <v>112782052</v>
      </c>
      <c r="K100">
        <f t="shared" si="6"/>
        <v>45610</v>
      </c>
      <c r="L100" s="20">
        <f t="shared" si="11"/>
        <v>5.8139534883721034E-2</v>
      </c>
      <c r="M100" s="24">
        <f t="shared" si="7"/>
        <v>232.55813953488374</v>
      </c>
      <c r="N100" s="11">
        <f t="shared" si="8"/>
        <v>1058.1395348837209</v>
      </c>
      <c r="O100" s="20">
        <f t="shared" si="9"/>
        <v>5.8139534883720902E-2</v>
      </c>
      <c r="P100" s="2">
        <f t="shared" si="10"/>
        <v>0.1800000000000006</v>
      </c>
    </row>
    <row r="101" spans="1:16" ht="15" customHeight="1" x14ac:dyDescent="0.15">
      <c r="A101" s="7" t="s">
        <v>10</v>
      </c>
      <c r="B101" s="7" t="s">
        <v>11</v>
      </c>
      <c r="C101" s="8" t="s">
        <v>165</v>
      </c>
      <c r="D101" s="2">
        <v>4.55</v>
      </c>
      <c r="E101" s="2">
        <v>4.82</v>
      </c>
      <c r="F101" s="2">
        <v>4.55</v>
      </c>
      <c r="G101" s="2">
        <v>4.75</v>
      </c>
      <c r="H101" s="17">
        <v>134804</v>
      </c>
      <c r="I101" s="11">
        <v>535.71</v>
      </c>
      <c r="J101" s="14">
        <v>112782052</v>
      </c>
      <c r="K101">
        <f t="shared" si="6"/>
        <v>45611</v>
      </c>
      <c r="L101" s="20">
        <f t="shared" si="11"/>
        <v>0.10465116279069764</v>
      </c>
      <c r="M101" s="24">
        <f t="shared" si="7"/>
        <v>232.55813953488374</v>
      </c>
      <c r="N101" s="11">
        <f t="shared" si="8"/>
        <v>1104.6511627906978</v>
      </c>
      <c r="O101" s="20">
        <f t="shared" si="9"/>
        <v>0.10465116279069775</v>
      </c>
      <c r="P101" s="2">
        <f t="shared" si="10"/>
        <v>0.27000000000000046</v>
      </c>
    </row>
    <row r="102" spans="1:16" ht="15" customHeight="1" x14ac:dyDescent="0.15">
      <c r="A102" s="7" t="s">
        <v>10</v>
      </c>
      <c r="B102" s="7" t="s">
        <v>11</v>
      </c>
      <c r="C102" s="8" t="s">
        <v>164</v>
      </c>
      <c r="D102" s="2">
        <v>4.7300000000000004</v>
      </c>
      <c r="E102" s="2">
        <v>4.83</v>
      </c>
      <c r="F102" s="2">
        <v>4.62</v>
      </c>
      <c r="G102" s="2">
        <v>4.83</v>
      </c>
      <c r="H102" s="17">
        <v>95317</v>
      </c>
      <c r="I102" s="11">
        <v>544.74</v>
      </c>
      <c r="J102" s="14">
        <v>112782052</v>
      </c>
      <c r="K102">
        <f t="shared" si="6"/>
        <v>45614</v>
      </c>
      <c r="L102" s="20">
        <f t="shared" si="11"/>
        <v>0.1232558139534885</v>
      </c>
      <c r="M102" s="24">
        <f t="shared" si="7"/>
        <v>232.55813953488374</v>
      </c>
      <c r="N102" s="11">
        <f t="shared" si="8"/>
        <v>1123.2558139534885</v>
      </c>
      <c r="O102" s="20">
        <f t="shared" si="9"/>
        <v>0.12325581395348854</v>
      </c>
      <c r="P102" s="2">
        <f t="shared" si="10"/>
        <v>0.20999999999999996</v>
      </c>
    </row>
    <row r="103" spans="1:16" ht="15" customHeight="1" x14ac:dyDescent="0.15">
      <c r="A103" s="7" t="s">
        <v>10</v>
      </c>
      <c r="B103" s="7" t="s">
        <v>11</v>
      </c>
      <c r="C103" s="8" t="s">
        <v>163</v>
      </c>
      <c r="D103" s="2">
        <v>4.83</v>
      </c>
      <c r="E103" s="2">
        <v>5.19</v>
      </c>
      <c r="F103" s="2">
        <v>4.8</v>
      </c>
      <c r="G103" s="2">
        <v>5.07</v>
      </c>
      <c r="H103" s="17">
        <v>287946</v>
      </c>
      <c r="I103" s="11">
        <v>571.80999999999995</v>
      </c>
      <c r="J103" s="14">
        <v>112782052</v>
      </c>
      <c r="K103">
        <f t="shared" si="6"/>
        <v>45615</v>
      </c>
      <c r="L103" s="20">
        <f t="shared" si="11"/>
        <v>0.17906976744186065</v>
      </c>
      <c r="M103" s="24">
        <f t="shared" si="7"/>
        <v>232.55813953488374</v>
      </c>
      <c r="N103" s="11">
        <f t="shared" si="8"/>
        <v>1179.0697674418607</v>
      </c>
      <c r="O103" s="20">
        <f t="shared" si="9"/>
        <v>0.17906976744186068</v>
      </c>
      <c r="P103" s="2">
        <f t="shared" si="10"/>
        <v>0.39000000000000057</v>
      </c>
    </row>
    <row r="104" spans="1:16" ht="15" customHeight="1" x14ac:dyDescent="0.15">
      <c r="A104" s="7" t="s">
        <v>10</v>
      </c>
      <c r="B104" s="7" t="s">
        <v>11</v>
      </c>
      <c r="C104" s="8" t="s">
        <v>162</v>
      </c>
      <c r="D104" s="2">
        <v>5</v>
      </c>
      <c r="E104" s="2">
        <v>5.23</v>
      </c>
      <c r="F104" s="2">
        <v>4.9000000000000004</v>
      </c>
      <c r="G104" s="2">
        <v>5.0999999999999996</v>
      </c>
      <c r="H104" s="17">
        <v>289133</v>
      </c>
      <c r="I104" s="11">
        <v>575.19000000000005</v>
      </c>
      <c r="J104" s="14">
        <v>112782052</v>
      </c>
      <c r="K104">
        <f t="shared" si="6"/>
        <v>45616</v>
      </c>
      <c r="L104" s="20">
        <f t="shared" si="11"/>
        <v>0.18604651162790686</v>
      </c>
      <c r="M104" s="24">
        <f t="shared" si="7"/>
        <v>232.55813953488374</v>
      </c>
      <c r="N104" s="11">
        <f t="shared" si="8"/>
        <v>1186.046511627907</v>
      </c>
      <c r="O104" s="20">
        <f t="shared" si="9"/>
        <v>0.18604651162790697</v>
      </c>
      <c r="P104" s="2">
        <f t="shared" si="10"/>
        <v>0.33000000000000007</v>
      </c>
    </row>
    <row r="105" spans="1:16" ht="15" customHeight="1" x14ac:dyDescent="0.15">
      <c r="A105" s="7" t="s">
        <v>10</v>
      </c>
      <c r="B105" s="7" t="s">
        <v>11</v>
      </c>
      <c r="C105" s="8" t="s">
        <v>161</v>
      </c>
      <c r="D105" s="2">
        <v>5.0199999999999996</v>
      </c>
      <c r="E105" s="2">
        <v>5.0999999999999996</v>
      </c>
      <c r="F105" s="2">
        <v>4.83</v>
      </c>
      <c r="G105" s="2">
        <v>4.92</v>
      </c>
      <c r="H105" s="17">
        <v>138115</v>
      </c>
      <c r="I105" s="11">
        <v>554.89</v>
      </c>
      <c r="J105" s="14">
        <v>112782052</v>
      </c>
      <c r="K105">
        <f t="shared" si="6"/>
        <v>45617</v>
      </c>
      <c r="L105" s="20">
        <f t="shared" si="11"/>
        <v>0.14418604651162803</v>
      </c>
      <c r="M105" s="24">
        <f t="shared" si="7"/>
        <v>232.55813953488374</v>
      </c>
      <c r="N105" s="11">
        <f t="shared" si="8"/>
        <v>1144.1860465116279</v>
      </c>
      <c r="O105" s="20">
        <f t="shared" si="9"/>
        <v>0.14418604651162786</v>
      </c>
      <c r="P105" s="2">
        <f t="shared" si="10"/>
        <v>0.26999999999999957</v>
      </c>
    </row>
    <row r="106" spans="1:16" ht="15" customHeight="1" x14ac:dyDescent="0.15">
      <c r="A106" s="7" t="s">
        <v>10</v>
      </c>
      <c r="B106" s="7" t="s">
        <v>11</v>
      </c>
      <c r="C106" s="8" t="s">
        <v>160</v>
      </c>
      <c r="D106" s="2">
        <v>4.97</v>
      </c>
      <c r="E106" s="2">
        <v>4.97</v>
      </c>
      <c r="F106" s="2">
        <v>4.84</v>
      </c>
      <c r="G106" s="2">
        <v>4.8499999999999996</v>
      </c>
      <c r="H106" s="17">
        <v>131341</v>
      </c>
      <c r="I106" s="11">
        <v>546.99</v>
      </c>
      <c r="J106" s="14">
        <v>112782052</v>
      </c>
      <c r="K106">
        <f t="shared" si="6"/>
        <v>45618</v>
      </c>
      <c r="L106" s="20">
        <f t="shared" si="11"/>
        <v>0.12790697674418605</v>
      </c>
      <c r="M106" s="24">
        <f t="shared" si="7"/>
        <v>232.55813953488374</v>
      </c>
      <c r="N106" s="11">
        <f t="shared" si="8"/>
        <v>1127.9069767441861</v>
      </c>
      <c r="O106" s="20">
        <f t="shared" si="9"/>
        <v>0.12790697674418608</v>
      </c>
      <c r="P106" s="2">
        <f t="shared" si="10"/>
        <v>0.12999999999999989</v>
      </c>
    </row>
    <row r="107" spans="1:16" ht="15" customHeight="1" x14ac:dyDescent="0.15">
      <c r="A107" s="7" t="s">
        <v>10</v>
      </c>
      <c r="B107" s="7" t="s">
        <v>11</v>
      </c>
      <c r="C107" s="8" t="s">
        <v>159</v>
      </c>
      <c r="D107" s="2">
        <v>4.8499999999999996</v>
      </c>
      <c r="E107" s="2">
        <v>4.8899999999999997</v>
      </c>
      <c r="F107" s="2">
        <v>4.75</v>
      </c>
      <c r="G107" s="2">
        <v>4.78</v>
      </c>
      <c r="H107" s="17">
        <v>41080</v>
      </c>
      <c r="I107" s="11">
        <v>539.1</v>
      </c>
      <c r="J107" s="14">
        <v>112782052</v>
      </c>
      <c r="K107">
        <f t="shared" si="6"/>
        <v>45621</v>
      </c>
      <c r="L107" s="20">
        <f t="shared" si="11"/>
        <v>0.1116279069767443</v>
      </c>
      <c r="M107" s="24">
        <f t="shared" si="7"/>
        <v>232.55813953488374</v>
      </c>
      <c r="N107" s="11">
        <f t="shared" si="8"/>
        <v>1111.6279069767443</v>
      </c>
      <c r="O107" s="20">
        <f t="shared" si="9"/>
        <v>0.11162790697674427</v>
      </c>
      <c r="P107" s="2">
        <f t="shared" si="10"/>
        <v>0.13999999999999968</v>
      </c>
    </row>
    <row r="108" spans="1:16" ht="15" customHeight="1" x14ac:dyDescent="0.15">
      <c r="A108" s="7" t="s">
        <v>10</v>
      </c>
      <c r="B108" s="7" t="s">
        <v>11</v>
      </c>
      <c r="C108" s="8" t="s">
        <v>158</v>
      </c>
      <c r="D108" s="2">
        <v>4.78</v>
      </c>
      <c r="E108" s="2">
        <v>4.84</v>
      </c>
      <c r="F108" s="2">
        <v>4.74</v>
      </c>
      <c r="G108" s="2">
        <v>4.8</v>
      </c>
      <c r="H108" s="17">
        <v>45427</v>
      </c>
      <c r="I108" s="11">
        <v>541.35</v>
      </c>
      <c r="J108" s="14">
        <v>112782052</v>
      </c>
      <c r="K108">
        <f t="shared" si="6"/>
        <v>45622</v>
      </c>
      <c r="L108" s="20">
        <f t="shared" si="11"/>
        <v>0.11627906976744184</v>
      </c>
      <c r="M108" s="24">
        <f t="shared" si="7"/>
        <v>232.55813953488374</v>
      </c>
      <c r="N108" s="11">
        <f t="shared" si="8"/>
        <v>1116.2790697674418</v>
      </c>
      <c r="O108" s="20">
        <f t="shared" si="9"/>
        <v>0.1162790697674418</v>
      </c>
      <c r="P108" s="2">
        <f t="shared" si="10"/>
        <v>9.9999999999999645E-2</v>
      </c>
    </row>
    <row r="109" spans="1:16" ht="15" customHeight="1" x14ac:dyDescent="0.15">
      <c r="A109" s="7" t="s">
        <v>10</v>
      </c>
      <c r="B109" s="7" t="s">
        <v>11</v>
      </c>
      <c r="C109" s="8" t="s">
        <v>157</v>
      </c>
      <c r="D109" s="2">
        <v>4.82</v>
      </c>
      <c r="E109" s="2">
        <v>5.04</v>
      </c>
      <c r="F109" s="2">
        <v>4.8099999999999996</v>
      </c>
      <c r="G109" s="2">
        <v>4.9800000000000004</v>
      </c>
      <c r="H109" s="17">
        <v>138535</v>
      </c>
      <c r="I109" s="11">
        <v>561.65</v>
      </c>
      <c r="J109" s="14">
        <v>112782052</v>
      </c>
      <c r="K109">
        <f t="shared" si="6"/>
        <v>45623</v>
      </c>
      <c r="L109" s="20">
        <f t="shared" si="11"/>
        <v>0.15813953488372112</v>
      </c>
      <c r="M109" s="24">
        <f t="shared" si="7"/>
        <v>232.55813953488374</v>
      </c>
      <c r="N109" s="11">
        <f t="shared" si="8"/>
        <v>1158.1395348837211</v>
      </c>
      <c r="O109" s="20">
        <f t="shared" si="9"/>
        <v>0.15813953488372112</v>
      </c>
      <c r="P109" s="2">
        <f t="shared" si="10"/>
        <v>0.23000000000000043</v>
      </c>
    </row>
    <row r="110" spans="1:16" ht="15" customHeight="1" x14ac:dyDescent="0.15">
      <c r="A110" s="7" t="s">
        <v>10</v>
      </c>
      <c r="B110" s="7" t="s">
        <v>11</v>
      </c>
      <c r="C110" s="8" t="s">
        <v>156</v>
      </c>
      <c r="D110" s="2">
        <v>5</v>
      </c>
      <c r="E110" s="2">
        <v>5.04</v>
      </c>
      <c r="F110" s="2">
        <v>4.93</v>
      </c>
      <c r="G110" s="2">
        <v>5.01</v>
      </c>
      <c r="H110" s="17">
        <v>64507</v>
      </c>
      <c r="I110" s="11">
        <v>565.04</v>
      </c>
      <c r="J110" s="14">
        <v>112782052</v>
      </c>
      <c r="K110">
        <f t="shared" si="6"/>
        <v>45624</v>
      </c>
      <c r="L110" s="20">
        <f t="shared" si="11"/>
        <v>0.16511627906976734</v>
      </c>
      <c r="M110" s="24">
        <f t="shared" si="7"/>
        <v>232.55813953488374</v>
      </c>
      <c r="N110" s="11">
        <f t="shared" si="8"/>
        <v>1165.1162790697674</v>
      </c>
      <c r="O110" s="20">
        <f t="shared" si="9"/>
        <v>0.16511627906976742</v>
      </c>
      <c r="P110" s="2">
        <f t="shared" si="10"/>
        <v>0.11000000000000032</v>
      </c>
    </row>
    <row r="111" spans="1:16" ht="15" customHeight="1" x14ac:dyDescent="0.15">
      <c r="A111" s="7" t="s">
        <v>10</v>
      </c>
      <c r="B111" s="7" t="s">
        <v>11</v>
      </c>
      <c r="C111" s="8" t="s">
        <v>155</v>
      </c>
      <c r="D111" s="2">
        <v>4.99</v>
      </c>
      <c r="E111" s="2">
        <v>5.0999999999999996</v>
      </c>
      <c r="F111" s="2">
        <v>4.91</v>
      </c>
      <c r="G111" s="2">
        <v>5.05</v>
      </c>
      <c r="H111" s="17">
        <v>80810</v>
      </c>
      <c r="I111" s="11">
        <v>569.54999999999995</v>
      </c>
      <c r="J111" s="14">
        <v>112782052</v>
      </c>
      <c r="K111">
        <f t="shared" si="6"/>
        <v>45625</v>
      </c>
      <c r="L111" s="20">
        <f t="shared" si="11"/>
        <v>0.17441860465116288</v>
      </c>
      <c r="M111" s="24">
        <f t="shared" si="7"/>
        <v>232.55813953488374</v>
      </c>
      <c r="N111" s="11">
        <f t="shared" si="8"/>
        <v>1174.4186046511629</v>
      </c>
      <c r="O111" s="20">
        <f t="shared" si="9"/>
        <v>0.17441860465116293</v>
      </c>
      <c r="P111" s="2">
        <f t="shared" si="10"/>
        <v>0.1899999999999995</v>
      </c>
    </row>
    <row r="112" spans="1:16" ht="15" customHeight="1" x14ac:dyDescent="0.15">
      <c r="A112" s="7" t="s">
        <v>10</v>
      </c>
      <c r="B112" s="7" t="s">
        <v>11</v>
      </c>
      <c r="C112" s="8" t="s">
        <v>154</v>
      </c>
      <c r="D112" s="2">
        <v>5.07</v>
      </c>
      <c r="E112" s="2">
        <v>5.0999999999999996</v>
      </c>
      <c r="F112" s="2">
        <v>4.9400000000000004</v>
      </c>
      <c r="G112" s="2">
        <v>5</v>
      </c>
      <c r="H112" s="17">
        <v>83892</v>
      </c>
      <c r="I112" s="11">
        <v>563.91</v>
      </c>
      <c r="J112" s="14">
        <v>112782052</v>
      </c>
      <c r="K112">
        <f t="shared" si="6"/>
        <v>45628</v>
      </c>
      <c r="L112" s="20">
        <f t="shared" si="11"/>
        <v>0.16279069767441867</v>
      </c>
      <c r="M112" s="24">
        <f t="shared" si="7"/>
        <v>232.55813953488374</v>
      </c>
      <c r="N112" s="11">
        <f t="shared" si="8"/>
        <v>1162.7906976744187</v>
      </c>
      <c r="O112" s="20">
        <f t="shared" si="9"/>
        <v>0.16279069767441864</v>
      </c>
      <c r="P112" s="2">
        <f t="shared" si="10"/>
        <v>0.15999999999999925</v>
      </c>
    </row>
    <row r="113" spans="1:16" ht="15" customHeight="1" x14ac:dyDescent="0.15">
      <c r="A113" s="7" t="s">
        <v>10</v>
      </c>
      <c r="B113" s="7" t="s">
        <v>11</v>
      </c>
      <c r="C113" s="8" t="s">
        <v>153</v>
      </c>
      <c r="D113" s="2">
        <v>5.0199999999999996</v>
      </c>
      <c r="E113" s="2">
        <v>5.35</v>
      </c>
      <c r="F113" s="2">
        <v>4.92</v>
      </c>
      <c r="G113" s="2">
        <v>5.3</v>
      </c>
      <c r="H113" s="17">
        <v>188658</v>
      </c>
      <c r="I113" s="11">
        <v>597.74</v>
      </c>
      <c r="J113" s="14">
        <v>112782052</v>
      </c>
      <c r="K113">
        <f t="shared" si="6"/>
        <v>45629</v>
      </c>
      <c r="L113" s="20">
        <f t="shared" si="11"/>
        <v>0.23255813953488369</v>
      </c>
      <c r="M113" s="24">
        <f t="shared" si="7"/>
        <v>232.55813953488374</v>
      </c>
      <c r="N113" s="11">
        <f t="shared" si="8"/>
        <v>1232.5581395348838</v>
      </c>
      <c r="O113" s="20">
        <f t="shared" si="9"/>
        <v>0.23255813953488383</v>
      </c>
      <c r="P113" s="2">
        <f t="shared" si="10"/>
        <v>0.42999999999999972</v>
      </c>
    </row>
    <row r="114" spans="1:16" ht="15" customHeight="1" x14ac:dyDescent="0.15">
      <c r="A114" s="7" t="s">
        <v>10</v>
      </c>
      <c r="B114" s="7" t="s">
        <v>11</v>
      </c>
      <c r="C114" s="8" t="s">
        <v>152</v>
      </c>
      <c r="D114" s="2">
        <v>5.42</v>
      </c>
      <c r="E114" s="2">
        <v>5.55</v>
      </c>
      <c r="F114" s="2">
        <v>5.29</v>
      </c>
      <c r="G114" s="2">
        <v>5.45</v>
      </c>
      <c r="H114" s="17">
        <v>660028</v>
      </c>
      <c r="I114" s="11">
        <v>614.66</v>
      </c>
      <c r="J114" s="14">
        <v>112782052</v>
      </c>
      <c r="K114">
        <f t="shared" si="6"/>
        <v>45630</v>
      </c>
      <c r="L114" s="20">
        <f t="shared" si="11"/>
        <v>0.26744186046511631</v>
      </c>
      <c r="M114" s="24">
        <f t="shared" si="7"/>
        <v>232.55813953488374</v>
      </c>
      <c r="N114" s="11">
        <f t="shared" si="8"/>
        <v>1267.4418604651164</v>
      </c>
      <c r="O114" s="20">
        <f t="shared" si="9"/>
        <v>0.26744186046511642</v>
      </c>
      <c r="P114" s="2">
        <f t="shared" si="10"/>
        <v>0.25999999999999979</v>
      </c>
    </row>
    <row r="115" spans="1:16" ht="15" customHeight="1" x14ac:dyDescent="0.15">
      <c r="A115" s="7" t="s">
        <v>10</v>
      </c>
      <c r="B115" s="7" t="s">
        <v>11</v>
      </c>
      <c r="C115" s="8" t="s">
        <v>151</v>
      </c>
      <c r="D115" s="2">
        <v>5.41</v>
      </c>
      <c r="E115" s="2">
        <v>5.64</v>
      </c>
      <c r="F115" s="2">
        <v>5.36</v>
      </c>
      <c r="G115" s="2">
        <v>5.57</v>
      </c>
      <c r="H115" s="17">
        <v>180161</v>
      </c>
      <c r="I115" s="11">
        <v>631.75</v>
      </c>
      <c r="J115" s="14">
        <v>113419775</v>
      </c>
      <c r="K115">
        <f t="shared" si="6"/>
        <v>45631</v>
      </c>
      <c r="L115" s="20">
        <f t="shared" si="11"/>
        <v>0.29534883720930249</v>
      </c>
      <c r="M115" s="24">
        <f t="shared" si="7"/>
        <v>232.55813953488374</v>
      </c>
      <c r="N115" s="11">
        <f t="shared" si="8"/>
        <v>1295.3488372093025</v>
      </c>
      <c r="O115" s="20">
        <f t="shared" si="9"/>
        <v>0.29534883720930249</v>
      </c>
      <c r="P115" s="2">
        <f t="shared" si="10"/>
        <v>0.27999999999999936</v>
      </c>
    </row>
    <row r="116" spans="1:16" ht="15" customHeight="1" x14ac:dyDescent="0.15">
      <c r="A116" s="7" t="s">
        <v>10</v>
      </c>
      <c r="B116" s="7" t="s">
        <v>11</v>
      </c>
      <c r="C116" s="8" t="s">
        <v>150</v>
      </c>
      <c r="D116" s="2">
        <v>5.6</v>
      </c>
      <c r="E116" s="2">
        <v>5.68</v>
      </c>
      <c r="F116" s="2">
        <v>5.58</v>
      </c>
      <c r="G116" s="2">
        <v>5.6</v>
      </c>
      <c r="H116" s="17">
        <v>138958</v>
      </c>
      <c r="I116" s="11">
        <v>635.15</v>
      </c>
      <c r="J116" s="14">
        <v>113419775</v>
      </c>
      <c r="K116">
        <f t="shared" si="6"/>
        <v>45632</v>
      </c>
      <c r="L116" s="20">
        <f t="shared" si="11"/>
        <v>0.30232558139534871</v>
      </c>
      <c r="M116" s="24">
        <f t="shared" si="7"/>
        <v>232.55813953488374</v>
      </c>
      <c r="N116" s="11">
        <f t="shared" si="8"/>
        <v>1302.3255813953488</v>
      </c>
      <c r="O116" s="20">
        <f t="shared" si="9"/>
        <v>0.30232558139534876</v>
      </c>
      <c r="P116" s="2">
        <f t="shared" si="10"/>
        <v>9.9999999999999645E-2</v>
      </c>
    </row>
    <row r="117" spans="1:16" ht="15" customHeight="1" x14ac:dyDescent="0.15">
      <c r="A117" s="7" t="s">
        <v>10</v>
      </c>
      <c r="B117" s="7" t="s">
        <v>11</v>
      </c>
      <c r="C117" s="8" t="s">
        <v>149</v>
      </c>
      <c r="D117" s="2">
        <v>5.62</v>
      </c>
      <c r="E117" s="2">
        <v>5.77</v>
      </c>
      <c r="F117" s="2">
        <v>5.62</v>
      </c>
      <c r="G117" s="2">
        <v>5.68</v>
      </c>
      <c r="H117" s="17">
        <v>191683</v>
      </c>
      <c r="I117" s="11">
        <v>644.22</v>
      </c>
      <c r="J117" s="14">
        <v>113419775</v>
      </c>
      <c r="K117">
        <f t="shared" si="6"/>
        <v>45635</v>
      </c>
      <c r="L117" s="20">
        <f t="shared" si="11"/>
        <v>0.32093023255813957</v>
      </c>
      <c r="M117" s="24">
        <f t="shared" si="7"/>
        <v>232.55813953488374</v>
      </c>
      <c r="N117" s="11">
        <f t="shared" si="8"/>
        <v>1320.9302325581396</v>
      </c>
      <c r="O117" s="20">
        <f t="shared" si="9"/>
        <v>0.32093023255813957</v>
      </c>
      <c r="P117" s="2">
        <f t="shared" si="10"/>
        <v>0.14999999999999947</v>
      </c>
    </row>
    <row r="118" spans="1:16" ht="15" customHeight="1" x14ac:dyDescent="0.15">
      <c r="A118" s="7" t="s">
        <v>10</v>
      </c>
      <c r="B118" s="7" t="s">
        <v>11</v>
      </c>
      <c r="C118" s="8" t="s">
        <v>148</v>
      </c>
      <c r="D118" s="2">
        <v>5.69</v>
      </c>
      <c r="E118" s="2">
        <v>5.7</v>
      </c>
      <c r="F118" s="2">
        <v>5.49</v>
      </c>
      <c r="G118" s="2">
        <v>5.55</v>
      </c>
      <c r="H118" s="17">
        <v>129778</v>
      </c>
      <c r="I118" s="11">
        <v>629.48</v>
      </c>
      <c r="J118" s="14">
        <v>113419775</v>
      </c>
      <c r="K118">
        <f t="shared" si="6"/>
        <v>45636</v>
      </c>
      <c r="L118" s="20">
        <f t="shared" si="11"/>
        <v>0.29069767441860472</v>
      </c>
      <c r="M118" s="24">
        <f t="shared" si="7"/>
        <v>232.55813953488374</v>
      </c>
      <c r="N118" s="11">
        <f t="shared" si="8"/>
        <v>1290.6976744186047</v>
      </c>
      <c r="O118" s="20">
        <f t="shared" si="9"/>
        <v>0.29069767441860472</v>
      </c>
      <c r="P118" s="2">
        <f t="shared" si="10"/>
        <v>0.20999999999999996</v>
      </c>
    </row>
    <row r="119" spans="1:16" ht="15" customHeight="1" x14ac:dyDescent="0.15">
      <c r="A119" s="7" t="s">
        <v>10</v>
      </c>
      <c r="B119" s="7" t="s">
        <v>11</v>
      </c>
      <c r="C119" s="8" t="s">
        <v>147</v>
      </c>
      <c r="D119" s="2">
        <v>5.59</v>
      </c>
      <c r="E119" s="2">
        <v>5.64</v>
      </c>
      <c r="F119" s="2">
        <v>5.5250000000000004</v>
      </c>
      <c r="G119" s="2">
        <v>5.58</v>
      </c>
      <c r="H119" s="17">
        <v>107098</v>
      </c>
      <c r="I119" s="11">
        <v>632.88</v>
      </c>
      <c r="J119" s="14">
        <v>113419775</v>
      </c>
      <c r="K119">
        <f t="shared" si="6"/>
        <v>45637</v>
      </c>
      <c r="L119" s="20">
        <f t="shared" si="11"/>
        <v>0.29767441860465116</v>
      </c>
      <c r="M119" s="24">
        <f t="shared" si="7"/>
        <v>232.55813953488374</v>
      </c>
      <c r="N119" s="11">
        <f t="shared" si="8"/>
        <v>1297.6744186046512</v>
      </c>
      <c r="O119" s="20">
        <f t="shared" si="9"/>
        <v>0.29767441860465121</v>
      </c>
      <c r="P119" s="2">
        <f t="shared" si="10"/>
        <v>0.11499999999999932</v>
      </c>
    </row>
    <row r="120" spans="1:16" ht="15" customHeight="1" x14ac:dyDescent="0.15">
      <c r="A120" s="7" t="s">
        <v>10</v>
      </c>
      <c r="B120" s="7" t="s">
        <v>11</v>
      </c>
      <c r="C120" s="8" t="s">
        <v>146</v>
      </c>
      <c r="D120" s="2">
        <v>5.58</v>
      </c>
      <c r="E120" s="2">
        <v>5.69</v>
      </c>
      <c r="F120" s="2">
        <v>5.58</v>
      </c>
      <c r="G120" s="2">
        <v>5.69</v>
      </c>
      <c r="H120" s="17">
        <v>86433</v>
      </c>
      <c r="I120" s="11">
        <v>645.36</v>
      </c>
      <c r="J120" s="14">
        <v>113419775</v>
      </c>
      <c r="K120">
        <f t="shared" si="6"/>
        <v>45638</v>
      </c>
      <c r="L120" s="20">
        <f t="shared" si="11"/>
        <v>0.32325581395348846</v>
      </c>
      <c r="M120" s="24">
        <f t="shared" si="7"/>
        <v>232.55813953488374</v>
      </c>
      <c r="N120" s="11">
        <f t="shared" si="8"/>
        <v>1323.2558139534885</v>
      </c>
      <c r="O120" s="20">
        <f t="shared" si="9"/>
        <v>0.32325581395348857</v>
      </c>
      <c r="P120" s="2">
        <f t="shared" si="10"/>
        <v>0.11000000000000032</v>
      </c>
    </row>
    <row r="121" spans="1:16" ht="15" customHeight="1" x14ac:dyDescent="0.15">
      <c r="A121" s="7" t="s">
        <v>10</v>
      </c>
      <c r="B121" s="7" t="s">
        <v>11</v>
      </c>
      <c r="C121" s="8" t="s">
        <v>145</v>
      </c>
      <c r="D121" s="2">
        <v>5.66</v>
      </c>
      <c r="E121" s="2">
        <v>5.67</v>
      </c>
      <c r="F121" s="2">
        <v>5.55</v>
      </c>
      <c r="G121" s="2">
        <v>5.58</v>
      </c>
      <c r="H121" s="17">
        <v>76866</v>
      </c>
      <c r="I121" s="11">
        <v>632.88</v>
      </c>
      <c r="J121" s="14">
        <v>113419775</v>
      </c>
      <c r="K121">
        <f t="shared" si="6"/>
        <v>45639</v>
      </c>
      <c r="L121" s="20">
        <f t="shared" si="11"/>
        <v>0.29767441860465116</v>
      </c>
      <c r="M121" s="24">
        <f t="shared" si="7"/>
        <v>232.55813953488374</v>
      </c>
      <c r="N121" s="11">
        <f t="shared" si="8"/>
        <v>1297.6744186046512</v>
      </c>
      <c r="O121" s="20">
        <f t="shared" si="9"/>
        <v>0.29767441860465121</v>
      </c>
      <c r="P121" s="2">
        <f t="shared" si="10"/>
        <v>0.12000000000000011</v>
      </c>
    </row>
    <row r="122" spans="1:16" ht="15" customHeight="1" x14ac:dyDescent="0.15">
      <c r="A122" s="7" t="s">
        <v>10</v>
      </c>
      <c r="B122" s="7" t="s">
        <v>11</v>
      </c>
      <c r="C122" s="8" t="s">
        <v>144</v>
      </c>
      <c r="D122" s="2">
        <v>5.51</v>
      </c>
      <c r="E122" s="2">
        <v>5.64</v>
      </c>
      <c r="F122" s="2">
        <v>5.39</v>
      </c>
      <c r="G122" s="2">
        <v>5.44</v>
      </c>
      <c r="H122" s="17">
        <v>65315</v>
      </c>
      <c r="I122" s="11">
        <v>617</v>
      </c>
      <c r="J122" s="14">
        <v>113419775</v>
      </c>
      <c r="K122">
        <f t="shared" si="6"/>
        <v>45642</v>
      </c>
      <c r="L122" s="20">
        <f t="shared" si="11"/>
        <v>0.26511627906976765</v>
      </c>
      <c r="M122" s="24">
        <f t="shared" si="7"/>
        <v>232.55813953488374</v>
      </c>
      <c r="N122" s="11">
        <f t="shared" si="8"/>
        <v>1265.1162790697676</v>
      </c>
      <c r="O122" s="20">
        <f t="shared" si="9"/>
        <v>0.26511627906976765</v>
      </c>
      <c r="P122" s="2">
        <f t="shared" si="10"/>
        <v>0.25</v>
      </c>
    </row>
    <row r="123" spans="1:16" ht="15" customHeight="1" x14ac:dyDescent="0.15">
      <c r="A123" s="7" t="s">
        <v>10</v>
      </c>
      <c r="B123" s="7" t="s">
        <v>11</v>
      </c>
      <c r="C123" s="8" t="s">
        <v>143</v>
      </c>
      <c r="D123" s="2">
        <v>5.34</v>
      </c>
      <c r="E123" s="2">
        <v>5.49</v>
      </c>
      <c r="F123" s="2">
        <v>5.335</v>
      </c>
      <c r="G123" s="2">
        <v>5.41</v>
      </c>
      <c r="H123" s="17">
        <v>82349</v>
      </c>
      <c r="I123" s="11">
        <v>613.6</v>
      </c>
      <c r="J123" s="14">
        <v>113419775</v>
      </c>
      <c r="K123">
        <f t="shared" si="6"/>
        <v>45643</v>
      </c>
      <c r="L123" s="20">
        <f t="shared" si="11"/>
        <v>0.25813953488372099</v>
      </c>
      <c r="M123" s="24">
        <f t="shared" si="7"/>
        <v>232.55813953488374</v>
      </c>
      <c r="N123" s="11">
        <f t="shared" si="8"/>
        <v>1258.1395348837211</v>
      </c>
      <c r="O123" s="20">
        <f t="shared" si="9"/>
        <v>0.2581395348837211</v>
      </c>
      <c r="P123" s="2">
        <f t="shared" si="10"/>
        <v>0.15500000000000025</v>
      </c>
    </row>
    <row r="124" spans="1:16" ht="15" customHeight="1" x14ac:dyDescent="0.15">
      <c r="A124" s="7" t="s">
        <v>10</v>
      </c>
      <c r="B124" s="7" t="s">
        <v>11</v>
      </c>
      <c r="C124" s="8" t="s">
        <v>142</v>
      </c>
      <c r="D124" s="2">
        <v>5.4</v>
      </c>
      <c r="E124" s="2">
        <v>5.43</v>
      </c>
      <c r="F124" s="2">
        <v>5.33</v>
      </c>
      <c r="G124" s="2">
        <v>5.37</v>
      </c>
      <c r="H124" s="17">
        <v>54228</v>
      </c>
      <c r="I124" s="11">
        <v>609.05999999999995</v>
      </c>
      <c r="J124" s="14">
        <v>113419775</v>
      </c>
      <c r="K124">
        <f t="shared" si="6"/>
        <v>45644</v>
      </c>
      <c r="L124" s="20">
        <f t="shared" si="11"/>
        <v>0.24883720930232567</v>
      </c>
      <c r="M124" s="24">
        <f t="shared" si="7"/>
        <v>232.55813953488374</v>
      </c>
      <c r="N124" s="11">
        <f t="shared" si="8"/>
        <v>1248.8372093023256</v>
      </c>
      <c r="O124" s="20">
        <f t="shared" si="9"/>
        <v>0.24883720930232561</v>
      </c>
      <c r="P124" s="2">
        <f t="shared" si="10"/>
        <v>9.9999999999999645E-2</v>
      </c>
    </row>
    <row r="125" spans="1:16" ht="15" customHeight="1" x14ac:dyDescent="0.15">
      <c r="A125" s="7" t="s">
        <v>10</v>
      </c>
      <c r="B125" s="7" t="s">
        <v>11</v>
      </c>
      <c r="C125" s="8" t="s">
        <v>141</v>
      </c>
      <c r="D125" s="2">
        <v>5.32</v>
      </c>
      <c r="E125" s="2">
        <v>5.32</v>
      </c>
      <c r="F125" s="2">
        <v>5.1100000000000003</v>
      </c>
      <c r="G125" s="2">
        <v>5.21</v>
      </c>
      <c r="H125" s="17">
        <v>56904</v>
      </c>
      <c r="I125" s="11">
        <v>590.91999999999996</v>
      </c>
      <c r="J125" s="14">
        <v>113419775</v>
      </c>
      <c r="K125">
        <f t="shared" si="6"/>
        <v>45645</v>
      </c>
      <c r="L125" s="20">
        <f t="shared" si="11"/>
        <v>0.21162790697674416</v>
      </c>
      <c r="M125" s="24">
        <f t="shared" si="7"/>
        <v>232.55813953488374</v>
      </c>
      <c r="N125" s="11">
        <f t="shared" si="8"/>
        <v>1211.6279069767443</v>
      </c>
      <c r="O125" s="20">
        <f t="shared" si="9"/>
        <v>0.21162790697674427</v>
      </c>
      <c r="P125" s="2">
        <f t="shared" si="10"/>
        <v>0.20999999999999996</v>
      </c>
    </row>
    <row r="126" spans="1:16" ht="15" customHeight="1" x14ac:dyDescent="0.15">
      <c r="A126" s="7" t="s">
        <v>10</v>
      </c>
      <c r="B126" s="7" t="s">
        <v>11</v>
      </c>
      <c r="C126" s="8" t="s">
        <v>140</v>
      </c>
      <c r="D126" s="2">
        <v>5.21</v>
      </c>
      <c r="E126" s="2">
        <v>5.37</v>
      </c>
      <c r="F126" s="2">
        <v>5.04</v>
      </c>
      <c r="G126" s="2">
        <v>5.37</v>
      </c>
      <c r="H126" s="17">
        <v>190670</v>
      </c>
      <c r="I126" s="11">
        <v>609.05999999999995</v>
      </c>
      <c r="J126" s="14">
        <v>113419775</v>
      </c>
      <c r="K126">
        <f t="shared" si="6"/>
        <v>45646</v>
      </c>
      <c r="L126" s="20">
        <f t="shared" si="11"/>
        <v>0.24883720930232567</v>
      </c>
      <c r="M126" s="24">
        <f t="shared" si="7"/>
        <v>232.55813953488374</v>
      </c>
      <c r="N126" s="11">
        <f t="shared" si="8"/>
        <v>1248.8372093023256</v>
      </c>
      <c r="O126" s="20">
        <f t="shared" si="9"/>
        <v>0.24883720930232561</v>
      </c>
      <c r="P126" s="2">
        <f t="shared" si="10"/>
        <v>0.33000000000000007</v>
      </c>
    </row>
    <row r="127" spans="1:16" ht="15" customHeight="1" x14ac:dyDescent="0.15">
      <c r="A127" s="7" t="s">
        <v>10</v>
      </c>
      <c r="B127" s="7" t="s">
        <v>11</v>
      </c>
      <c r="C127" s="8" t="s">
        <v>139</v>
      </c>
      <c r="D127" s="2">
        <v>5.25</v>
      </c>
      <c r="E127" s="2">
        <v>5.32</v>
      </c>
      <c r="F127" s="2">
        <v>5.18</v>
      </c>
      <c r="G127" s="2">
        <v>5.29</v>
      </c>
      <c r="H127" s="17">
        <v>33686</v>
      </c>
      <c r="I127" s="11">
        <v>599.99</v>
      </c>
      <c r="J127" s="14">
        <v>113419775</v>
      </c>
      <c r="K127">
        <f t="shared" si="6"/>
        <v>45649</v>
      </c>
      <c r="L127" s="20">
        <f t="shared" si="11"/>
        <v>0.23023255813953503</v>
      </c>
      <c r="M127" s="24">
        <f t="shared" si="7"/>
        <v>232.55813953488374</v>
      </c>
      <c r="N127" s="11">
        <f t="shared" si="8"/>
        <v>1230.2325581395351</v>
      </c>
      <c r="O127" s="20">
        <f t="shared" si="9"/>
        <v>0.23023255813953505</v>
      </c>
      <c r="P127" s="2">
        <f t="shared" si="10"/>
        <v>0.14000000000000057</v>
      </c>
    </row>
    <row r="128" spans="1:16" ht="15" customHeight="1" x14ac:dyDescent="0.15">
      <c r="A128" s="7" t="s">
        <v>10</v>
      </c>
      <c r="B128" s="7" t="s">
        <v>11</v>
      </c>
      <c r="C128" s="8" t="s">
        <v>138</v>
      </c>
      <c r="D128" s="2">
        <v>5.25</v>
      </c>
      <c r="E128" s="2">
        <v>5.34</v>
      </c>
      <c r="F128" s="2">
        <v>5.25</v>
      </c>
      <c r="G128" s="2">
        <v>5.34</v>
      </c>
      <c r="H128" s="17">
        <v>22499</v>
      </c>
      <c r="I128" s="11">
        <v>605.66</v>
      </c>
      <c r="J128" s="14">
        <v>113419775</v>
      </c>
      <c r="K128">
        <f t="shared" si="6"/>
        <v>45650</v>
      </c>
      <c r="L128" s="20">
        <f t="shared" si="11"/>
        <v>0.24186046511627901</v>
      </c>
      <c r="M128" s="24">
        <f t="shared" si="7"/>
        <v>232.55813953488374</v>
      </c>
      <c r="N128" s="11">
        <f t="shared" si="8"/>
        <v>1241.8604651162791</v>
      </c>
      <c r="O128" s="20">
        <f t="shared" si="9"/>
        <v>0.24186046511627909</v>
      </c>
      <c r="P128" s="2">
        <f t="shared" si="10"/>
        <v>8.9999999999999858E-2</v>
      </c>
    </row>
    <row r="129" spans="1:16" ht="15" customHeight="1" x14ac:dyDescent="0.15">
      <c r="A129" s="7" t="s">
        <v>10</v>
      </c>
      <c r="B129" s="7" t="s">
        <v>11</v>
      </c>
      <c r="C129" s="8" t="s">
        <v>137</v>
      </c>
      <c r="D129" s="2">
        <v>5.37</v>
      </c>
      <c r="E129" s="2">
        <v>5.37</v>
      </c>
      <c r="F129" s="2">
        <v>5.22</v>
      </c>
      <c r="G129" s="2">
        <v>5.27</v>
      </c>
      <c r="H129" s="17">
        <v>44842</v>
      </c>
      <c r="I129" s="11">
        <v>597.72</v>
      </c>
      <c r="J129" s="14">
        <v>113419775</v>
      </c>
      <c r="K129">
        <f t="shared" si="6"/>
        <v>45653</v>
      </c>
      <c r="L129" s="20">
        <f t="shared" si="11"/>
        <v>0.22558139534883725</v>
      </c>
      <c r="M129" s="24">
        <f t="shared" si="7"/>
        <v>232.55813953488374</v>
      </c>
      <c r="N129" s="11">
        <f t="shared" si="8"/>
        <v>1225.5813953488371</v>
      </c>
      <c r="O129" s="20">
        <f t="shared" si="9"/>
        <v>0.22558139534883709</v>
      </c>
      <c r="P129" s="2">
        <f t="shared" si="10"/>
        <v>0.15000000000000036</v>
      </c>
    </row>
    <row r="130" spans="1:16" ht="15" customHeight="1" x14ac:dyDescent="0.15">
      <c r="A130" s="7" t="s">
        <v>10</v>
      </c>
      <c r="B130" s="7" t="s">
        <v>11</v>
      </c>
      <c r="C130" s="8" t="s">
        <v>136</v>
      </c>
      <c r="D130" s="2">
        <v>5.25</v>
      </c>
      <c r="E130" s="2">
        <v>5.39</v>
      </c>
      <c r="F130" s="2">
        <v>5.24</v>
      </c>
      <c r="G130" s="2">
        <v>5.37</v>
      </c>
      <c r="H130" s="17">
        <v>34509</v>
      </c>
      <c r="I130" s="11">
        <v>609.05999999999995</v>
      </c>
      <c r="J130" s="14">
        <v>113419775</v>
      </c>
      <c r="K130">
        <f t="shared" ref="K130:K193" si="12">DATEVALUE(C130)</f>
        <v>45656</v>
      </c>
      <c r="L130" s="20">
        <f t="shared" si="11"/>
        <v>0.24883720930232567</v>
      </c>
      <c r="M130" s="24">
        <f t="shared" si="7"/>
        <v>232.55813953488374</v>
      </c>
      <c r="N130" s="11">
        <f t="shared" si="8"/>
        <v>1248.8372093023256</v>
      </c>
      <c r="O130" s="20">
        <f t="shared" si="9"/>
        <v>0.24883720930232561</v>
      </c>
      <c r="P130" s="2">
        <f t="shared" si="10"/>
        <v>0.14999999999999947</v>
      </c>
    </row>
    <row r="131" spans="1:16" ht="15" customHeight="1" x14ac:dyDescent="0.15">
      <c r="A131" s="7" t="s">
        <v>10</v>
      </c>
      <c r="B131" s="7" t="s">
        <v>11</v>
      </c>
      <c r="C131" s="8" t="s">
        <v>135</v>
      </c>
      <c r="D131" s="2">
        <v>5.37</v>
      </c>
      <c r="E131" s="2">
        <v>5.4</v>
      </c>
      <c r="F131" s="2">
        <v>5.34</v>
      </c>
      <c r="G131" s="2">
        <v>5.38</v>
      </c>
      <c r="H131" s="17">
        <v>48508</v>
      </c>
      <c r="I131" s="11">
        <v>610.20000000000005</v>
      </c>
      <c r="J131" s="14">
        <v>113419775</v>
      </c>
      <c r="K131">
        <f t="shared" si="12"/>
        <v>45657</v>
      </c>
      <c r="L131" s="20">
        <f t="shared" si="11"/>
        <v>0.25116279069767455</v>
      </c>
      <c r="M131" s="24">
        <f t="shared" ref="M131:M194" si="13">1000/$G$2</f>
        <v>232.55813953488374</v>
      </c>
      <c r="N131" s="11">
        <f t="shared" ref="N131:N194" si="14">M131*G131</f>
        <v>1251.1627906976744</v>
      </c>
      <c r="O131" s="20">
        <f t="shared" ref="O131:O194" si="15">(N131-1000)/1000</f>
        <v>0.25116279069767439</v>
      </c>
      <c r="P131" s="2">
        <f t="shared" ref="P131:P194" si="16">E131-F131</f>
        <v>6.0000000000000497E-2</v>
      </c>
    </row>
    <row r="132" spans="1:16" ht="15" customHeight="1" x14ac:dyDescent="0.15">
      <c r="A132" s="7" t="s">
        <v>10</v>
      </c>
      <c r="B132" s="7" t="s">
        <v>11</v>
      </c>
      <c r="C132" s="8" t="s">
        <v>134</v>
      </c>
      <c r="D132" s="2">
        <v>5.35</v>
      </c>
      <c r="E132" s="2">
        <v>5.44</v>
      </c>
      <c r="F132" s="2">
        <v>5.2</v>
      </c>
      <c r="G132" s="2">
        <v>5.2</v>
      </c>
      <c r="H132" s="17">
        <v>43635</v>
      </c>
      <c r="I132" s="11">
        <v>589.78</v>
      </c>
      <c r="J132" s="14">
        <v>113419775</v>
      </c>
      <c r="K132">
        <f t="shared" si="12"/>
        <v>45659</v>
      </c>
      <c r="L132" s="20">
        <f t="shared" ref="L132:L195" si="17">((G132/$G$2-1))</f>
        <v>0.2093023255813955</v>
      </c>
      <c r="M132" s="24">
        <f t="shared" si="13"/>
        <v>232.55813953488374</v>
      </c>
      <c r="N132" s="11">
        <f t="shared" si="14"/>
        <v>1209.3023255813955</v>
      </c>
      <c r="O132" s="20">
        <f t="shared" si="15"/>
        <v>0.2093023255813955</v>
      </c>
      <c r="P132" s="2">
        <f t="shared" si="16"/>
        <v>0.24000000000000021</v>
      </c>
    </row>
    <row r="133" spans="1:16" ht="15" customHeight="1" x14ac:dyDescent="0.15">
      <c r="A133" s="7" t="s">
        <v>10</v>
      </c>
      <c r="B133" s="7" t="s">
        <v>11</v>
      </c>
      <c r="C133" s="8" t="s">
        <v>133</v>
      </c>
      <c r="D133" s="2">
        <v>5.23</v>
      </c>
      <c r="E133" s="2">
        <v>5.31</v>
      </c>
      <c r="F133" s="2">
        <v>5.22</v>
      </c>
      <c r="G133" s="2">
        <v>5.22</v>
      </c>
      <c r="H133" s="17">
        <v>50879</v>
      </c>
      <c r="I133" s="11">
        <v>592.04999999999995</v>
      </c>
      <c r="J133" s="14">
        <v>113419775</v>
      </c>
      <c r="K133">
        <f t="shared" si="12"/>
        <v>45660</v>
      </c>
      <c r="L133" s="20">
        <f t="shared" si="17"/>
        <v>0.21395348837209305</v>
      </c>
      <c r="M133" s="24">
        <f t="shared" si="13"/>
        <v>232.55813953488374</v>
      </c>
      <c r="N133" s="11">
        <f t="shared" si="14"/>
        <v>1213.953488372093</v>
      </c>
      <c r="O133" s="20">
        <f t="shared" si="15"/>
        <v>0.21395348837209302</v>
      </c>
      <c r="P133" s="2">
        <f t="shared" si="16"/>
        <v>8.9999999999999858E-2</v>
      </c>
    </row>
    <row r="134" spans="1:16" ht="15" customHeight="1" x14ac:dyDescent="0.15">
      <c r="A134" s="7" t="s">
        <v>10</v>
      </c>
      <c r="B134" s="7" t="s">
        <v>11</v>
      </c>
      <c r="C134" s="8" t="s">
        <v>132</v>
      </c>
      <c r="D134" s="2">
        <v>5.22</v>
      </c>
      <c r="E134" s="2">
        <v>5.39</v>
      </c>
      <c r="F134" s="2">
        <v>5.15</v>
      </c>
      <c r="G134" s="2">
        <v>5.15</v>
      </c>
      <c r="H134" s="17">
        <v>30194</v>
      </c>
      <c r="I134" s="11">
        <v>584.11</v>
      </c>
      <c r="J134" s="14">
        <v>113419775</v>
      </c>
      <c r="K134">
        <f t="shared" si="12"/>
        <v>45663</v>
      </c>
      <c r="L134" s="20">
        <f t="shared" si="17"/>
        <v>0.19767441860465129</v>
      </c>
      <c r="M134" s="24">
        <f t="shared" si="13"/>
        <v>232.55813953488374</v>
      </c>
      <c r="N134" s="11">
        <f t="shared" si="14"/>
        <v>1197.6744186046512</v>
      </c>
      <c r="O134" s="20">
        <f t="shared" si="15"/>
        <v>0.19767441860465124</v>
      </c>
      <c r="P134" s="2">
        <f t="shared" si="16"/>
        <v>0.23999999999999932</v>
      </c>
    </row>
    <row r="135" spans="1:16" ht="15" customHeight="1" x14ac:dyDescent="0.15">
      <c r="A135" s="7" t="s">
        <v>10</v>
      </c>
      <c r="B135" s="7" t="s">
        <v>11</v>
      </c>
      <c r="C135" s="8" t="s">
        <v>131</v>
      </c>
      <c r="D135" s="2">
        <v>5.15</v>
      </c>
      <c r="E135" s="2">
        <v>5.35</v>
      </c>
      <c r="F135" s="2">
        <v>5.0999999999999996</v>
      </c>
      <c r="G135" s="2">
        <v>5.27</v>
      </c>
      <c r="H135" s="17">
        <v>47204</v>
      </c>
      <c r="I135" s="11">
        <v>597.72</v>
      </c>
      <c r="J135" s="14">
        <v>113419775</v>
      </c>
      <c r="K135">
        <f t="shared" si="12"/>
        <v>45664</v>
      </c>
      <c r="L135" s="20">
        <f t="shared" si="17"/>
        <v>0.22558139534883725</v>
      </c>
      <c r="M135" s="24">
        <f t="shared" si="13"/>
        <v>232.55813953488374</v>
      </c>
      <c r="N135" s="11">
        <f t="shared" si="14"/>
        <v>1225.5813953488371</v>
      </c>
      <c r="O135" s="20">
        <f t="shared" si="15"/>
        <v>0.22558139534883709</v>
      </c>
      <c r="P135" s="2">
        <f t="shared" si="16"/>
        <v>0.25</v>
      </c>
    </row>
    <row r="136" spans="1:16" ht="15" customHeight="1" x14ac:dyDescent="0.15">
      <c r="A136" s="7" t="s">
        <v>10</v>
      </c>
      <c r="B136" s="7" t="s">
        <v>11</v>
      </c>
      <c r="C136" s="8" t="s">
        <v>130</v>
      </c>
      <c r="D136" s="2">
        <v>5.13</v>
      </c>
      <c r="E136" s="2">
        <v>5.33</v>
      </c>
      <c r="F136" s="2">
        <v>5.13</v>
      </c>
      <c r="G136" s="2">
        <v>5.3</v>
      </c>
      <c r="H136" s="17">
        <v>38239</v>
      </c>
      <c r="I136" s="11">
        <v>601.12</v>
      </c>
      <c r="J136" s="14">
        <v>113419775</v>
      </c>
      <c r="K136">
        <f t="shared" si="12"/>
        <v>45665</v>
      </c>
      <c r="L136" s="20">
        <f t="shared" si="17"/>
        <v>0.23255813953488369</v>
      </c>
      <c r="M136" s="24">
        <f t="shared" si="13"/>
        <v>232.55813953488374</v>
      </c>
      <c r="N136" s="11">
        <f t="shared" si="14"/>
        <v>1232.5581395348838</v>
      </c>
      <c r="O136" s="20">
        <f t="shared" si="15"/>
        <v>0.23255813953488383</v>
      </c>
      <c r="P136" s="2">
        <f t="shared" si="16"/>
        <v>0.20000000000000018</v>
      </c>
    </row>
    <row r="137" spans="1:16" ht="15" customHeight="1" x14ac:dyDescent="0.15">
      <c r="A137" s="7" t="s">
        <v>10</v>
      </c>
      <c r="B137" s="7" t="s">
        <v>11</v>
      </c>
      <c r="C137" s="8" t="s">
        <v>129</v>
      </c>
      <c r="D137" s="2">
        <v>5.24</v>
      </c>
      <c r="E137" s="2">
        <v>5.32</v>
      </c>
      <c r="F137" s="2">
        <v>5.24</v>
      </c>
      <c r="G137" s="2">
        <v>5.31</v>
      </c>
      <c r="H137" s="17">
        <v>60887</v>
      </c>
      <c r="I137" s="11">
        <v>602.26</v>
      </c>
      <c r="J137" s="14">
        <v>113419775</v>
      </c>
      <c r="K137">
        <f t="shared" si="12"/>
        <v>45666</v>
      </c>
      <c r="L137" s="20">
        <f t="shared" si="17"/>
        <v>0.23488372093023258</v>
      </c>
      <c r="M137" s="24">
        <f t="shared" si="13"/>
        <v>232.55813953488374</v>
      </c>
      <c r="N137" s="11">
        <f t="shared" si="14"/>
        <v>1234.8837209302326</v>
      </c>
      <c r="O137" s="20">
        <f t="shared" si="15"/>
        <v>0.23488372093023258</v>
      </c>
      <c r="P137" s="2">
        <f t="shared" si="16"/>
        <v>8.0000000000000071E-2</v>
      </c>
    </row>
    <row r="138" spans="1:16" ht="15" customHeight="1" x14ac:dyDescent="0.15">
      <c r="A138" s="7" t="s">
        <v>10</v>
      </c>
      <c r="B138" s="7" t="s">
        <v>11</v>
      </c>
      <c r="C138" s="8" t="s">
        <v>128</v>
      </c>
      <c r="D138" s="2">
        <v>5.3</v>
      </c>
      <c r="E138" s="2">
        <v>5.39</v>
      </c>
      <c r="F138" s="2">
        <v>5.2</v>
      </c>
      <c r="G138" s="2">
        <v>5.36</v>
      </c>
      <c r="H138" s="17">
        <v>55973</v>
      </c>
      <c r="I138" s="11">
        <v>607.92999999999995</v>
      </c>
      <c r="J138" s="14">
        <v>113419775</v>
      </c>
      <c r="K138">
        <f t="shared" si="12"/>
        <v>45667</v>
      </c>
      <c r="L138" s="20">
        <f t="shared" si="17"/>
        <v>0.24651162790697678</v>
      </c>
      <c r="M138" s="24">
        <f t="shared" si="13"/>
        <v>232.55813953488374</v>
      </c>
      <c r="N138" s="11">
        <f t="shared" si="14"/>
        <v>1246.5116279069769</v>
      </c>
      <c r="O138" s="20">
        <f t="shared" si="15"/>
        <v>0.24651162790697687</v>
      </c>
      <c r="P138" s="2">
        <f t="shared" si="16"/>
        <v>0.1899999999999995</v>
      </c>
    </row>
    <row r="139" spans="1:16" ht="15" customHeight="1" x14ac:dyDescent="0.15">
      <c r="A139" s="7" t="s">
        <v>10</v>
      </c>
      <c r="B139" s="7" t="s">
        <v>11</v>
      </c>
      <c r="C139" s="8" t="s">
        <v>127</v>
      </c>
      <c r="D139" s="2">
        <v>5.28</v>
      </c>
      <c r="E139" s="2">
        <v>5.34</v>
      </c>
      <c r="F139" s="2">
        <v>5.19</v>
      </c>
      <c r="G139" s="2">
        <v>5.29</v>
      </c>
      <c r="H139" s="17">
        <v>28772</v>
      </c>
      <c r="I139" s="11">
        <v>599.99</v>
      </c>
      <c r="J139" s="14">
        <v>113419775</v>
      </c>
      <c r="K139">
        <f t="shared" si="12"/>
        <v>45670</v>
      </c>
      <c r="L139" s="20">
        <f t="shared" si="17"/>
        <v>0.23023255813953503</v>
      </c>
      <c r="M139" s="24">
        <f t="shared" si="13"/>
        <v>232.55813953488374</v>
      </c>
      <c r="N139" s="11">
        <f t="shared" si="14"/>
        <v>1230.2325581395351</v>
      </c>
      <c r="O139" s="20">
        <f t="shared" si="15"/>
        <v>0.23023255813953505</v>
      </c>
      <c r="P139" s="2">
        <f t="shared" si="16"/>
        <v>0.14999999999999947</v>
      </c>
    </row>
    <row r="140" spans="1:16" ht="15" customHeight="1" x14ac:dyDescent="0.15">
      <c r="A140" s="7" t="s">
        <v>10</v>
      </c>
      <c r="B140" s="7" t="s">
        <v>11</v>
      </c>
      <c r="C140" s="8" t="s">
        <v>126</v>
      </c>
      <c r="D140" s="2">
        <v>5.28</v>
      </c>
      <c r="E140" s="2">
        <v>5.28</v>
      </c>
      <c r="F140" s="2">
        <v>5.12</v>
      </c>
      <c r="G140" s="2">
        <v>5.25</v>
      </c>
      <c r="H140" s="17">
        <v>133742</v>
      </c>
      <c r="I140" s="11">
        <v>595.45000000000005</v>
      </c>
      <c r="J140" s="14">
        <v>113419775</v>
      </c>
      <c r="K140">
        <f t="shared" si="12"/>
        <v>45671</v>
      </c>
      <c r="L140" s="20">
        <f t="shared" si="17"/>
        <v>0.22093023255813948</v>
      </c>
      <c r="M140" s="24">
        <f t="shared" si="13"/>
        <v>232.55813953488374</v>
      </c>
      <c r="N140" s="11">
        <f t="shared" si="14"/>
        <v>1220.9302325581396</v>
      </c>
      <c r="O140" s="20">
        <f t="shared" si="15"/>
        <v>0.22093023255813954</v>
      </c>
      <c r="P140" s="2">
        <f t="shared" si="16"/>
        <v>0.16000000000000014</v>
      </c>
    </row>
    <row r="141" spans="1:16" ht="15" customHeight="1" x14ac:dyDescent="0.15">
      <c r="A141" s="7" t="s">
        <v>10</v>
      </c>
      <c r="B141" s="7" t="s">
        <v>11</v>
      </c>
      <c r="C141" s="8" t="s">
        <v>125</v>
      </c>
      <c r="D141" s="2">
        <v>5.2</v>
      </c>
      <c r="E141" s="2">
        <v>5.25</v>
      </c>
      <c r="F141" s="2">
        <v>5.09</v>
      </c>
      <c r="G141" s="2">
        <v>5.12</v>
      </c>
      <c r="H141" s="17">
        <v>73965</v>
      </c>
      <c r="I141" s="11">
        <v>580.71</v>
      </c>
      <c r="J141" s="14">
        <v>113419775</v>
      </c>
      <c r="K141">
        <f t="shared" si="12"/>
        <v>45672</v>
      </c>
      <c r="L141" s="20">
        <f t="shared" si="17"/>
        <v>0.19069767441860463</v>
      </c>
      <c r="M141" s="24">
        <f t="shared" si="13"/>
        <v>232.55813953488374</v>
      </c>
      <c r="N141" s="11">
        <f t="shared" si="14"/>
        <v>1190.6976744186047</v>
      </c>
      <c r="O141" s="20">
        <f t="shared" si="15"/>
        <v>0.19069767441860472</v>
      </c>
      <c r="P141" s="2">
        <f t="shared" si="16"/>
        <v>0.16000000000000014</v>
      </c>
    </row>
    <row r="142" spans="1:16" ht="15" customHeight="1" x14ac:dyDescent="0.15">
      <c r="A142" s="7" t="s">
        <v>10</v>
      </c>
      <c r="B142" s="7" t="s">
        <v>11</v>
      </c>
      <c r="C142" s="8" t="s">
        <v>124</v>
      </c>
      <c r="D142" s="2">
        <v>5.16</v>
      </c>
      <c r="E142" s="2">
        <v>5.22</v>
      </c>
      <c r="F142" s="2">
        <v>5.16</v>
      </c>
      <c r="G142" s="2">
        <v>5.22</v>
      </c>
      <c r="H142" s="17">
        <v>109471</v>
      </c>
      <c r="I142" s="11">
        <v>592.04999999999995</v>
      </c>
      <c r="J142" s="14">
        <v>113419775</v>
      </c>
      <c r="K142">
        <f t="shared" si="12"/>
        <v>45673</v>
      </c>
      <c r="L142" s="20">
        <f t="shared" si="17"/>
        <v>0.21395348837209305</v>
      </c>
      <c r="M142" s="24">
        <f t="shared" si="13"/>
        <v>232.55813953488374</v>
      </c>
      <c r="N142" s="11">
        <f t="shared" si="14"/>
        <v>1213.953488372093</v>
      </c>
      <c r="O142" s="20">
        <f t="shared" si="15"/>
        <v>0.21395348837209302</v>
      </c>
      <c r="P142" s="2">
        <f t="shared" si="16"/>
        <v>5.9999999999999609E-2</v>
      </c>
    </row>
    <row r="143" spans="1:16" ht="15" customHeight="1" x14ac:dyDescent="0.15">
      <c r="A143" s="7" t="s">
        <v>10</v>
      </c>
      <c r="B143" s="7" t="s">
        <v>11</v>
      </c>
      <c r="C143" s="8" t="s">
        <v>123</v>
      </c>
      <c r="D143" s="2">
        <v>5.2</v>
      </c>
      <c r="E143" s="2">
        <v>5.36</v>
      </c>
      <c r="F143" s="2">
        <v>5.15</v>
      </c>
      <c r="G143" s="2">
        <v>5.3</v>
      </c>
      <c r="H143" s="17">
        <v>187383</v>
      </c>
      <c r="I143" s="11">
        <v>601.12</v>
      </c>
      <c r="J143" s="14">
        <v>113419775</v>
      </c>
      <c r="K143">
        <f t="shared" si="12"/>
        <v>45674</v>
      </c>
      <c r="L143" s="20">
        <f t="shared" si="17"/>
        <v>0.23255813953488369</v>
      </c>
      <c r="M143" s="24">
        <f t="shared" si="13"/>
        <v>232.55813953488374</v>
      </c>
      <c r="N143" s="11">
        <f t="shared" si="14"/>
        <v>1232.5581395348838</v>
      </c>
      <c r="O143" s="20">
        <f t="shared" si="15"/>
        <v>0.23255813953488383</v>
      </c>
      <c r="P143" s="2">
        <f t="shared" si="16"/>
        <v>0.20999999999999996</v>
      </c>
    </row>
    <row r="144" spans="1:16" ht="15" customHeight="1" x14ac:dyDescent="0.15">
      <c r="A144" s="7" t="s">
        <v>10</v>
      </c>
      <c r="B144" s="7" t="s">
        <v>11</v>
      </c>
      <c r="C144" s="8" t="s">
        <v>122</v>
      </c>
      <c r="D144" s="2">
        <v>5.25</v>
      </c>
      <c r="E144" s="2">
        <v>5.25</v>
      </c>
      <c r="F144" s="2">
        <v>5.03</v>
      </c>
      <c r="G144" s="2">
        <v>5.0999999999999996</v>
      </c>
      <c r="H144" s="17">
        <v>193212</v>
      </c>
      <c r="I144" s="11">
        <v>578.44000000000005</v>
      </c>
      <c r="J144" s="14">
        <v>113419775</v>
      </c>
      <c r="K144">
        <f t="shared" si="12"/>
        <v>45677</v>
      </c>
      <c r="L144" s="20">
        <f t="shared" si="17"/>
        <v>0.18604651162790686</v>
      </c>
      <c r="M144" s="24">
        <f t="shared" si="13"/>
        <v>232.55813953488374</v>
      </c>
      <c r="N144" s="11">
        <f t="shared" si="14"/>
        <v>1186.046511627907</v>
      </c>
      <c r="O144" s="20">
        <f t="shared" si="15"/>
        <v>0.18604651162790697</v>
      </c>
      <c r="P144" s="2">
        <f t="shared" si="16"/>
        <v>0.21999999999999975</v>
      </c>
    </row>
    <row r="145" spans="1:16" ht="15" customHeight="1" x14ac:dyDescent="0.15">
      <c r="A145" s="7" t="s">
        <v>10</v>
      </c>
      <c r="B145" s="7" t="s">
        <v>11</v>
      </c>
      <c r="C145" s="8" t="s">
        <v>121</v>
      </c>
      <c r="D145" s="2">
        <v>5.05</v>
      </c>
      <c r="E145" s="2">
        <v>5.2</v>
      </c>
      <c r="F145" s="2">
        <v>5</v>
      </c>
      <c r="G145" s="2">
        <v>5.0999999999999996</v>
      </c>
      <c r="H145" s="17">
        <v>114048</v>
      </c>
      <c r="I145" s="11">
        <v>578.44000000000005</v>
      </c>
      <c r="J145" s="14">
        <v>113419775</v>
      </c>
      <c r="K145">
        <f t="shared" si="12"/>
        <v>45678</v>
      </c>
      <c r="L145" s="20">
        <f t="shared" si="17"/>
        <v>0.18604651162790686</v>
      </c>
      <c r="M145" s="24">
        <f t="shared" si="13"/>
        <v>232.55813953488374</v>
      </c>
      <c r="N145" s="11">
        <f t="shared" si="14"/>
        <v>1186.046511627907</v>
      </c>
      <c r="O145" s="20">
        <f t="shared" si="15"/>
        <v>0.18604651162790697</v>
      </c>
      <c r="P145" s="2">
        <f t="shared" si="16"/>
        <v>0.20000000000000018</v>
      </c>
    </row>
    <row r="146" spans="1:16" ht="15" customHeight="1" x14ac:dyDescent="0.15">
      <c r="A146" s="7" t="s">
        <v>10</v>
      </c>
      <c r="B146" s="7" t="s">
        <v>11</v>
      </c>
      <c r="C146" s="8" t="s">
        <v>120</v>
      </c>
      <c r="D146" s="2">
        <v>5.01</v>
      </c>
      <c r="E146" s="2">
        <v>5.16</v>
      </c>
      <c r="F146" s="2">
        <v>5.01</v>
      </c>
      <c r="G146" s="2">
        <v>5.09</v>
      </c>
      <c r="H146" s="17">
        <v>120768</v>
      </c>
      <c r="I146" s="11">
        <v>577.30999999999995</v>
      </c>
      <c r="J146" s="14">
        <v>113419775</v>
      </c>
      <c r="K146">
        <f t="shared" si="12"/>
        <v>45679</v>
      </c>
      <c r="L146" s="20">
        <f t="shared" si="17"/>
        <v>0.1837209302325582</v>
      </c>
      <c r="M146" s="24">
        <f t="shared" si="13"/>
        <v>232.55813953488374</v>
      </c>
      <c r="N146" s="11">
        <f t="shared" si="14"/>
        <v>1183.7209302325582</v>
      </c>
      <c r="O146" s="20">
        <f t="shared" si="15"/>
        <v>0.1837209302325582</v>
      </c>
      <c r="P146" s="2">
        <f t="shared" si="16"/>
        <v>0.15000000000000036</v>
      </c>
    </row>
    <row r="147" spans="1:16" ht="15" customHeight="1" x14ac:dyDescent="0.15">
      <c r="A147" s="7" t="s">
        <v>10</v>
      </c>
      <c r="B147" s="7" t="s">
        <v>11</v>
      </c>
      <c r="C147" s="8" t="s">
        <v>119</v>
      </c>
      <c r="D147" s="2">
        <v>5.09</v>
      </c>
      <c r="E147" s="2">
        <v>5.0999999999999996</v>
      </c>
      <c r="F147" s="2">
        <v>4.92</v>
      </c>
      <c r="G147" s="2">
        <v>4.95</v>
      </c>
      <c r="H147" s="17">
        <v>102477</v>
      </c>
      <c r="I147" s="11">
        <v>561.42999999999995</v>
      </c>
      <c r="J147" s="14">
        <v>113419775</v>
      </c>
      <c r="K147">
        <f t="shared" si="12"/>
        <v>45680</v>
      </c>
      <c r="L147" s="20">
        <f t="shared" si="17"/>
        <v>0.15116279069767447</v>
      </c>
      <c r="M147" s="24">
        <f t="shared" si="13"/>
        <v>232.55813953488374</v>
      </c>
      <c r="N147" s="11">
        <f t="shared" si="14"/>
        <v>1151.1627906976746</v>
      </c>
      <c r="O147" s="20">
        <f t="shared" si="15"/>
        <v>0.1511627906976746</v>
      </c>
      <c r="P147" s="2">
        <f t="shared" si="16"/>
        <v>0.17999999999999972</v>
      </c>
    </row>
    <row r="148" spans="1:16" ht="15" customHeight="1" x14ac:dyDescent="0.15">
      <c r="A148" s="7" t="s">
        <v>10</v>
      </c>
      <c r="B148" s="7" t="s">
        <v>11</v>
      </c>
      <c r="C148" s="8" t="s">
        <v>118</v>
      </c>
      <c r="D148" s="2">
        <v>4.95</v>
      </c>
      <c r="E148" s="2">
        <v>5.1100000000000003</v>
      </c>
      <c r="F148" s="2">
        <v>4.9400000000000004</v>
      </c>
      <c r="G148" s="2">
        <v>5.05</v>
      </c>
      <c r="H148" s="17">
        <v>104909</v>
      </c>
      <c r="I148" s="11">
        <v>572.77</v>
      </c>
      <c r="J148" s="14">
        <v>113419775</v>
      </c>
      <c r="K148">
        <f t="shared" si="12"/>
        <v>45681</v>
      </c>
      <c r="L148" s="20">
        <f t="shared" si="17"/>
        <v>0.17441860465116288</v>
      </c>
      <c r="M148" s="24">
        <f t="shared" si="13"/>
        <v>232.55813953488374</v>
      </c>
      <c r="N148" s="11">
        <f t="shared" si="14"/>
        <v>1174.4186046511629</v>
      </c>
      <c r="O148" s="20">
        <f t="shared" si="15"/>
        <v>0.17441860465116293</v>
      </c>
      <c r="P148" s="2">
        <f t="shared" si="16"/>
        <v>0.16999999999999993</v>
      </c>
    </row>
    <row r="149" spans="1:16" ht="15" customHeight="1" x14ac:dyDescent="0.15">
      <c r="A149" s="7" t="s">
        <v>10</v>
      </c>
      <c r="B149" s="7" t="s">
        <v>11</v>
      </c>
      <c r="C149" s="8" t="s">
        <v>117</v>
      </c>
      <c r="D149" s="2">
        <v>4.95</v>
      </c>
      <c r="E149" s="2">
        <v>5.01</v>
      </c>
      <c r="F149" s="2">
        <v>4.92</v>
      </c>
      <c r="G149" s="2">
        <v>4.96</v>
      </c>
      <c r="H149" s="17">
        <v>36290</v>
      </c>
      <c r="I149" s="11">
        <v>562.55999999999995</v>
      </c>
      <c r="J149" s="14">
        <v>113419775</v>
      </c>
      <c r="K149">
        <f t="shared" si="12"/>
        <v>45685</v>
      </c>
      <c r="L149" s="20">
        <f t="shared" si="17"/>
        <v>0.15348837209302335</v>
      </c>
      <c r="M149" s="24">
        <f t="shared" si="13"/>
        <v>232.55813953488374</v>
      </c>
      <c r="N149" s="11">
        <f t="shared" si="14"/>
        <v>1153.4883720930234</v>
      </c>
      <c r="O149" s="20">
        <f t="shared" si="15"/>
        <v>0.15348837209302338</v>
      </c>
      <c r="P149" s="2">
        <f t="shared" si="16"/>
        <v>8.9999999999999858E-2</v>
      </c>
    </row>
    <row r="150" spans="1:16" ht="15" customHeight="1" x14ac:dyDescent="0.15">
      <c r="A150" s="7" t="s">
        <v>10</v>
      </c>
      <c r="B150" s="7" t="s">
        <v>11</v>
      </c>
      <c r="C150" s="8" t="s">
        <v>116</v>
      </c>
      <c r="D150" s="2">
        <v>4.99</v>
      </c>
      <c r="E150" s="2">
        <v>4.99</v>
      </c>
      <c r="F150" s="2">
        <v>4.8150000000000004</v>
      </c>
      <c r="G150" s="2">
        <v>4.92</v>
      </c>
      <c r="H150" s="17">
        <v>61370</v>
      </c>
      <c r="I150" s="11">
        <v>558.03</v>
      </c>
      <c r="J150" s="14">
        <v>113419775</v>
      </c>
      <c r="K150">
        <f t="shared" si="12"/>
        <v>45686</v>
      </c>
      <c r="L150" s="20">
        <f t="shared" si="17"/>
        <v>0.14418604651162803</v>
      </c>
      <c r="M150" s="24">
        <f t="shared" si="13"/>
        <v>232.55813953488374</v>
      </c>
      <c r="N150" s="11">
        <f t="shared" si="14"/>
        <v>1144.1860465116279</v>
      </c>
      <c r="O150" s="20">
        <f t="shared" si="15"/>
        <v>0.14418604651162786</v>
      </c>
      <c r="P150" s="2">
        <f t="shared" si="16"/>
        <v>0.17499999999999982</v>
      </c>
    </row>
    <row r="151" spans="1:16" ht="15" customHeight="1" x14ac:dyDescent="0.15">
      <c r="A151" s="7" t="s">
        <v>10</v>
      </c>
      <c r="B151" s="7" t="s">
        <v>11</v>
      </c>
      <c r="C151" s="8" t="s">
        <v>115</v>
      </c>
      <c r="D151" s="2">
        <v>4.92</v>
      </c>
      <c r="E151" s="2">
        <v>5</v>
      </c>
      <c r="F151" s="2">
        <v>4.92</v>
      </c>
      <c r="G151" s="2">
        <v>4.9400000000000004</v>
      </c>
      <c r="H151" s="17">
        <v>36865</v>
      </c>
      <c r="I151" s="11">
        <v>560.29</v>
      </c>
      <c r="J151" s="14">
        <v>113419775</v>
      </c>
      <c r="K151">
        <f t="shared" si="12"/>
        <v>45687</v>
      </c>
      <c r="L151" s="20">
        <f t="shared" si="17"/>
        <v>0.1488372093023258</v>
      </c>
      <c r="M151" s="24">
        <f t="shared" si="13"/>
        <v>232.55813953488374</v>
      </c>
      <c r="N151" s="11">
        <f t="shared" si="14"/>
        <v>1148.8372093023258</v>
      </c>
      <c r="O151" s="20">
        <f t="shared" si="15"/>
        <v>0.14883720930232586</v>
      </c>
      <c r="P151" s="2">
        <f t="shared" si="16"/>
        <v>8.0000000000000071E-2</v>
      </c>
    </row>
    <row r="152" spans="1:16" ht="15" customHeight="1" x14ac:dyDescent="0.15">
      <c r="A152" s="7" t="s">
        <v>10</v>
      </c>
      <c r="B152" s="7" t="s">
        <v>11</v>
      </c>
      <c r="C152" s="8" t="s">
        <v>114</v>
      </c>
      <c r="D152" s="2">
        <v>4.9400000000000004</v>
      </c>
      <c r="E152" s="2">
        <v>5.0350000000000001</v>
      </c>
      <c r="F152" s="2">
        <v>4.9400000000000004</v>
      </c>
      <c r="G152" s="2">
        <v>4.99</v>
      </c>
      <c r="H152" s="17">
        <v>57779</v>
      </c>
      <c r="I152" s="11">
        <v>565.96</v>
      </c>
      <c r="J152" s="14">
        <v>113419775</v>
      </c>
      <c r="K152">
        <f t="shared" si="12"/>
        <v>45688</v>
      </c>
      <c r="L152" s="20">
        <f t="shared" si="17"/>
        <v>0.16046511627906979</v>
      </c>
      <c r="M152" s="24">
        <f t="shared" si="13"/>
        <v>232.55813953488374</v>
      </c>
      <c r="N152" s="11">
        <f t="shared" si="14"/>
        <v>1160.4651162790699</v>
      </c>
      <c r="O152" s="20">
        <f t="shared" si="15"/>
        <v>0.1604651162790699</v>
      </c>
      <c r="P152" s="2">
        <f t="shared" si="16"/>
        <v>9.4999999999999751E-2</v>
      </c>
    </row>
    <row r="153" spans="1:16" ht="15" customHeight="1" x14ac:dyDescent="0.15">
      <c r="A153" s="7" t="s">
        <v>10</v>
      </c>
      <c r="B153" s="7" t="s">
        <v>11</v>
      </c>
      <c r="C153" s="8" t="s">
        <v>113</v>
      </c>
      <c r="D153" s="2">
        <v>4.95</v>
      </c>
      <c r="E153" s="2">
        <v>4.95</v>
      </c>
      <c r="F153" s="2">
        <v>4.83</v>
      </c>
      <c r="G153" s="2">
        <v>4.8499999999999996</v>
      </c>
      <c r="H153" s="17">
        <v>48483</v>
      </c>
      <c r="I153" s="11">
        <v>550.09</v>
      </c>
      <c r="J153" s="14">
        <v>113419775</v>
      </c>
      <c r="K153">
        <f t="shared" si="12"/>
        <v>45691</v>
      </c>
      <c r="L153" s="20">
        <f t="shared" si="17"/>
        <v>0.12790697674418605</v>
      </c>
      <c r="M153" s="24">
        <f t="shared" si="13"/>
        <v>232.55813953488374</v>
      </c>
      <c r="N153" s="11">
        <f t="shared" si="14"/>
        <v>1127.9069767441861</v>
      </c>
      <c r="O153" s="20">
        <f t="shared" si="15"/>
        <v>0.12790697674418608</v>
      </c>
      <c r="P153" s="2">
        <f t="shared" si="16"/>
        <v>0.12000000000000011</v>
      </c>
    </row>
    <row r="154" spans="1:16" ht="15" customHeight="1" x14ac:dyDescent="0.15">
      <c r="A154" s="7" t="s">
        <v>10</v>
      </c>
      <c r="B154" s="7" t="s">
        <v>11</v>
      </c>
      <c r="C154" s="8" t="s">
        <v>112</v>
      </c>
      <c r="D154" s="2">
        <v>4.87</v>
      </c>
      <c r="E154" s="2">
        <v>4.9000000000000004</v>
      </c>
      <c r="F154" s="2">
        <v>4.82</v>
      </c>
      <c r="G154" s="2">
        <v>4.83</v>
      </c>
      <c r="H154" s="17">
        <v>28292</v>
      </c>
      <c r="I154" s="11">
        <v>547.82000000000005</v>
      </c>
      <c r="J154" s="14">
        <v>113419775</v>
      </c>
      <c r="K154">
        <f t="shared" si="12"/>
        <v>45692</v>
      </c>
      <c r="L154" s="20">
        <f t="shared" si="17"/>
        <v>0.1232558139534885</v>
      </c>
      <c r="M154" s="24">
        <f t="shared" si="13"/>
        <v>232.55813953488374</v>
      </c>
      <c r="N154" s="11">
        <f t="shared" si="14"/>
        <v>1123.2558139534885</v>
      </c>
      <c r="O154" s="20">
        <f t="shared" si="15"/>
        <v>0.12325581395348854</v>
      </c>
      <c r="P154" s="2">
        <f t="shared" si="16"/>
        <v>8.0000000000000071E-2</v>
      </c>
    </row>
    <row r="155" spans="1:16" ht="15" customHeight="1" x14ac:dyDescent="0.15">
      <c r="A155" s="7" t="s">
        <v>10</v>
      </c>
      <c r="B155" s="7" t="s">
        <v>11</v>
      </c>
      <c r="C155" s="8" t="s">
        <v>111</v>
      </c>
      <c r="D155" s="2">
        <v>4.8499999999999996</v>
      </c>
      <c r="E155" s="2">
        <v>4.9000000000000004</v>
      </c>
      <c r="F155" s="2">
        <v>4.76</v>
      </c>
      <c r="G155" s="2">
        <v>4.76</v>
      </c>
      <c r="H155" s="17">
        <v>70117</v>
      </c>
      <c r="I155" s="11">
        <v>539.88</v>
      </c>
      <c r="J155" s="14">
        <v>113419775</v>
      </c>
      <c r="K155">
        <f t="shared" si="12"/>
        <v>45693</v>
      </c>
      <c r="L155" s="20">
        <f t="shared" si="17"/>
        <v>0.10697674418604652</v>
      </c>
      <c r="M155" s="24">
        <f t="shared" si="13"/>
        <v>232.55813953488374</v>
      </c>
      <c r="N155" s="11">
        <f t="shared" si="14"/>
        <v>1106.9767441860465</v>
      </c>
      <c r="O155" s="20">
        <f t="shared" si="15"/>
        <v>0.10697674418604651</v>
      </c>
      <c r="P155" s="2">
        <f t="shared" si="16"/>
        <v>0.14000000000000057</v>
      </c>
    </row>
    <row r="156" spans="1:16" ht="15" customHeight="1" x14ac:dyDescent="0.15">
      <c r="A156" s="7" t="s">
        <v>10</v>
      </c>
      <c r="B156" s="7" t="s">
        <v>11</v>
      </c>
      <c r="C156" s="8" t="s">
        <v>110</v>
      </c>
      <c r="D156" s="2">
        <v>4.53</v>
      </c>
      <c r="E156" s="2">
        <v>4.8499999999999996</v>
      </c>
      <c r="F156" s="2">
        <v>4.53</v>
      </c>
      <c r="G156" s="2">
        <v>4.7300000000000004</v>
      </c>
      <c r="H156" s="17">
        <v>90700</v>
      </c>
      <c r="I156" s="11">
        <v>536.48</v>
      </c>
      <c r="J156" s="14">
        <v>113419775</v>
      </c>
      <c r="K156">
        <f t="shared" si="12"/>
        <v>45694</v>
      </c>
      <c r="L156" s="20">
        <f t="shared" si="17"/>
        <v>0.10000000000000009</v>
      </c>
      <c r="M156" s="24">
        <f t="shared" si="13"/>
        <v>232.55813953488374</v>
      </c>
      <c r="N156" s="11">
        <f t="shared" si="14"/>
        <v>1100.0000000000002</v>
      </c>
      <c r="O156" s="20">
        <f t="shared" si="15"/>
        <v>0.10000000000000023</v>
      </c>
      <c r="P156" s="2">
        <f t="shared" si="16"/>
        <v>0.3199999999999994</v>
      </c>
    </row>
    <row r="157" spans="1:16" ht="15" customHeight="1" x14ac:dyDescent="0.15">
      <c r="A157" s="7" t="s">
        <v>10</v>
      </c>
      <c r="B157" s="7" t="s">
        <v>11</v>
      </c>
      <c r="C157" s="8" t="s">
        <v>109</v>
      </c>
      <c r="D157" s="2">
        <v>4.72</v>
      </c>
      <c r="E157" s="2">
        <v>4.97</v>
      </c>
      <c r="F157" s="2">
        <v>4.67</v>
      </c>
      <c r="G157" s="2">
        <v>4.97</v>
      </c>
      <c r="H157" s="17">
        <v>98147</v>
      </c>
      <c r="I157" s="11">
        <v>563.70000000000005</v>
      </c>
      <c r="J157" s="14">
        <v>113419775</v>
      </c>
      <c r="K157">
        <f t="shared" si="12"/>
        <v>45695</v>
      </c>
      <c r="L157" s="20">
        <f t="shared" si="17"/>
        <v>0.15581395348837201</v>
      </c>
      <c r="M157" s="24">
        <f t="shared" si="13"/>
        <v>232.55813953488374</v>
      </c>
      <c r="N157" s="11">
        <f t="shared" si="14"/>
        <v>1155.8139534883721</v>
      </c>
      <c r="O157" s="20">
        <f t="shared" si="15"/>
        <v>0.15581395348837213</v>
      </c>
      <c r="P157" s="2">
        <f t="shared" si="16"/>
        <v>0.29999999999999982</v>
      </c>
    </row>
    <row r="158" spans="1:16" ht="15" customHeight="1" x14ac:dyDescent="0.15">
      <c r="A158" s="7" t="s">
        <v>10</v>
      </c>
      <c r="B158" s="7" t="s">
        <v>11</v>
      </c>
      <c r="C158" s="8" t="s">
        <v>108</v>
      </c>
      <c r="D158" s="2">
        <v>4.9000000000000004</v>
      </c>
      <c r="E158" s="2">
        <v>4.9800000000000004</v>
      </c>
      <c r="F158" s="2">
        <v>4.9000000000000004</v>
      </c>
      <c r="G158" s="2">
        <v>4.9800000000000004</v>
      </c>
      <c r="H158" s="17">
        <v>23378</v>
      </c>
      <c r="I158" s="11">
        <v>564.83000000000004</v>
      </c>
      <c r="J158" s="14">
        <v>113419775</v>
      </c>
      <c r="K158">
        <f t="shared" si="12"/>
        <v>45698</v>
      </c>
      <c r="L158" s="20">
        <f t="shared" si="17"/>
        <v>0.15813953488372112</v>
      </c>
      <c r="M158" s="24">
        <f t="shared" si="13"/>
        <v>232.55813953488374</v>
      </c>
      <c r="N158" s="11">
        <f t="shared" si="14"/>
        <v>1158.1395348837211</v>
      </c>
      <c r="O158" s="20">
        <f t="shared" si="15"/>
        <v>0.15813953488372112</v>
      </c>
      <c r="P158" s="2">
        <f t="shared" si="16"/>
        <v>8.0000000000000071E-2</v>
      </c>
    </row>
    <row r="159" spans="1:16" ht="15" customHeight="1" x14ac:dyDescent="0.15">
      <c r="A159" s="7" t="s">
        <v>10</v>
      </c>
      <c r="B159" s="7" t="s">
        <v>11</v>
      </c>
      <c r="C159" s="8" t="s">
        <v>107</v>
      </c>
      <c r="D159" s="2">
        <v>4.9800000000000004</v>
      </c>
      <c r="E159" s="2">
        <v>5.1100000000000003</v>
      </c>
      <c r="F159" s="2">
        <v>4.97</v>
      </c>
      <c r="G159" s="2">
        <v>4.99</v>
      </c>
      <c r="H159" s="17">
        <v>127350</v>
      </c>
      <c r="I159" s="11">
        <v>565.96</v>
      </c>
      <c r="J159" s="14">
        <v>113419775</v>
      </c>
      <c r="K159">
        <f t="shared" si="12"/>
        <v>45699</v>
      </c>
      <c r="L159" s="20">
        <f t="shared" si="17"/>
        <v>0.16046511627906979</v>
      </c>
      <c r="M159" s="24">
        <f t="shared" si="13"/>
        <v>232.55813953488374</v>
      </c>
      <c r="N159" s="11">
        <f t="shared" si="14"/>
        <v>1160.4651162790699</v>
      </c>
      <c r="O159" s="20">
        <f t="shared" si="15"/>
        <v>0.1604651162790699</v>
      </c>
      <c r="P159" s="2">
        <f t="shared" si="16"/>
        <v>0.14000000000000057</v>
      </c>
    </row>
    <row r="160" spans="1:16" ht="15" customHeight="1" x14ac:dyDescent="0.15">
      <c r="A160" s="7" t="s">
        <v>10</v>
      </c>
      <c r="B160" s="7" t="s">
        <v>11</v>
      </c>
      <c r="C160" s="8" t="s">
        <v>106</v>
      </c>
      <c r="D160" s="2">
        <v>4.9800000000000004</v>
      </c>
      <c r="E160" s="2">
        <v>4.9800000000000004</v>
      </c>
      <c r="F160" s="2">
        <v>4.8499999999999996</v>
      </c>
      <c r="G160" s="2">
        <v>4.87</v>
      </c>
      <c r="H160" s="17">
        <v>50801</v>
      </c>
      <c r="I160" s="11">
        <v>552.35</v>
      </c>
      <c r="J160" s="14">
        <v>113419775</v>
      </c>
      <c r="K160">
        <f t="shared" si="12"/>
        <v>45700</v>
      </c>
      <c r="L160" s="20">
        <f t="shared" si="17"/>
        <v>0.13255813953488382</v>
      </c>
      <c r="M160" s="24">
        <f t="shared" si="13"/>
        <v>232.55813953488374</v>
      </c>
      <c r="N160" s="11">
        <f t="shared" si="14"/>
        <v>1132.5581395348838</v>
      </c>
      <c r="O160" s="20">
        <f t="shared" si="15"/>
        <v>0.13255813953488382</v>
      </c>
      <c r="P160" s="2">
        <f t="shared" si="16"/>
        <v>0.13000000000000078</v>
      </c>
    </row>
    <row r="161" spans="1:16" ht="15" customHeight="1" x14ac:dyDescent="0.15">
      <c r="A161" s="7" t="s">
        <v>10</v>
      </c>
      <c r="B161" s="7" t="s">
        <v>11</v>
      </c>
      <c r="C161" s="8" t="s">
        <v>105</v>
      </c>
      <c r="D161" s="2">
        <v>4.91</v>
      </c>
      <c r="E161" s="2">
        <v>4.92</v>
      </c>
      <c r="F161" s="2">
        <v>4.8600000000000003</v>
      </c>
      <c r="G161" s="2">
        <v>4.9000000000000004</v>
      </c>
      <c r="H161" s="17">
        <v>78034</v>
      </c>
      <c r="I161" s="11">
        <v>555.76</v>
      </c>
      <c r="J161" s="14">
        <v>113419775</v>
      </c>
      <c r="K161">
        <f t="shared" si="12"/>
        <v>45701</v>
      </c>
      <c r="L161" s="20">
        <f t="shared" si="17"/>
        <v>0.13953488372093026</v>
      </c>
      <c r="M161" s="24">
        <f t="shared" si="13"/>
        <v>232.55813953488374</v>
      </c>
      <c r="N161" s="11">
        <f t="shared" si="14"/>
        <v>1139.5348837209303</v>
      </c>
      <c r="O161" s="20">
        <f t="shared" si="15"/>
        <v>0.13953488372093034</v>
      </c>
      <c r="P161" s="2">
        <f t="shared" si="16"/>
        <v>5.9999999999999609E-2</v>
      </c>
    </row>
    <row r="162" spans="1:16" ht="15" customHeight="1" x14ac:dyDescent="0.15">
      <c r="A162" s="7" t="s">
        <v>10</v>
      </c>
      <c r="B162" s="7" t="s">
        <v>11</v>
      </c>
      <c r="C162" s="8" t="s">
        <v>104</v>
      </c>
      <c r="D162" s="2">
        <v>4.92</v>
      </c>
      <c r="E162" s="2">
        <v>4.9800000000000004</v>
      </c>
      <c r="F162" s="2">
        <v>4.87</v>
      </c>
      <c r="G162" s="2">
        <v>4.96</v>
      </c>
      <c r="H162" s="17">
        <v>83872</v>
      </c>
      <c r="I162" s="11">
        <v>562.55999999999995</v>
      </c>
      <c r="J162" s="14">
        <v>113419775</v>
      </c>
      <c r="K162">
        <f t="shared" si="12"/>
        <v>45702</v>
      </c>
      <c r="L162" s="20">
        <f t="shared" si="17"/>
        <v>0.15348837209302335</v>
      </c>
      <c r="M162" s="24">
        <f t="shared" si="13"/>
        <v>232.55813953488374</v>
      </c>
      <c r="N162" s="11">
        <f t="shared" si="14"/>
        <v>1153.4883720930234</v>
      </c>
      <c r="O162" s="20">
        <f t="shared" si="15"/>
        <v>0.15348837209302338</v>
      </c>
      <c r="P162" s="2">
        <f t="shared" si="16"/>
        <v>0.11000000000000032</v>
      </c>
    </row>
    <row r="163" spans="1:16" ht="15" customHeight="1" x14ac:dyDescent="0.15">
      <c r="A163" s="7" t="s">
        <v>10</v>
      </c>
      <c r="B163" s="7" t="s">
        <v>11</v>
      </c>
      <c r="C163" s="8" t="s">
        <v>103</v>
      </c>
      <c r="D163" s="2">
        <v>4.99</v>
      </c>
      <c r="E163" s="2">
        <v>5.05</v>
      </c>
      <c r="F163" s="2">
        <v>4.97</v>
      </c>
      <c r="G163" s="2">
        <v>5.05</v>
      </c>
      <c r="H163" s="17">
        <v>25787</v>
      </c>
      <c r="I163" s="11">
        <v>572.77</v>
      </c>
      <c r="J163" s="14">
        <v>113419775</v>
      </c>
      <c r="K163">
        <f t="shared" si="12"/>
        <v>45705</v>
      </c>
      <c r="L163" s="20">
        <f t="shared" si="17"/>
        <v>0.17441860465116288</v>
      </c>
      <c r="M163" s="24">
        <f t="shared" si="13"/>
        <v>232.55813953488374</v>
      </c>
      <c r="N163" s="11">
        <f t="shared" si="14"/>
        <v>1174.4186046511629</v>
      </c>
      <c r="O163" s="20">
        <f t="shared" si="15"/>
        <v>0.17441860465116293</v>
      </c>
      <c r="P163" s="2">
        <f t="shared" si="16"/>
        <v>8.0000000000000071E-2</v>
      </c>
    </row>
    <row r="164" spans="1:16" ht="15" customHeight="1" x14ac:dyDescent="0.15">
      <c r="A164" s="7" t="s">
        <v>10</v>
      </c>
      <c r="B164" s="7" t="s">
        <v>11</v>
      </c>
      <c r="C164" s="8" t="s">
        <v>102</v>
      </c>
      <c r="D164" s="2">
        <v>5.03</v>
      </c>
      <c r="E164" s="2">
        <v>5.0999999999999996</v>
      </c>
      <c r="F164" s="2">
        <v>4.9000000000000004</v>
      </c>
      <c r="G164" s="2">
        <v>4.9000000000000004</v>
      </c>
      <c r="H164" s="17">
        <v>40951</v>
      </c>
      <c r="I164" s="11">
        <v>555.76</v>
      </c>
      <c r="J164" s="14">
        <v>113419775</v>
      </c>
      <c r="K164">
        <f t="shared" si="12"/>
        <v>45706</v>
      </c>
      <c r="L164" s="20">
        <f t="shared" si="17"/>
        <v>0.13953488372093026</v>
      </c>
      <c r="M164" s="24">
        <f t="shared" si="13"/>
        <v>232.55813953488374</v>
      </c>
      <c r="N164" s="11">
        <f t="shared" si="14"/>
        <v>1139.5348837209303</v>
      </c>
      <c r="O164" s="20">
        <f t="shared" si="15"/>
        <v>0.13953488372093034</v>
      </c>
      <c r="P164" s="2">
        <f t="shared" si="16"/>
        <v>0.19999999999999929</v>
      </c>
    </row>
    <row r="165" spans="1:16" ht="15" customHeight="1" x14ac:dyDescent="0.15">
      <c r="A165" s="7" t="s">
        <v>10</v>
      </c>
      <c r="B165" s="7" t="s">
        <v>11</v>
      </c>
      <c r="C165" s="8" t="s">
        <v>101</v>
      </c>
      <c r="D165" s="2">
        <v>4.9400000000000004</v>
      </c>
      <c r="E165" s="2">
        <v>5.0999999999999996</v>
      </c>
      <c r="F165" s="2">
        <v>4.91</v>
      </c>
      <c r="G165" s="2">
        <v>5.08</v>
      </c>
      <c r="H165" s="17">
        <v>58542</v>
      </c>
      <c r="I165" s="11">
        <v>576.16999999999996</v>
      </c>
      <c r="J165" s="14">
        <v>113419775</v>
      </c>
      <c r="K165">
        <f t="shared" si="12"/>
        <v>45707</v>
      </c>
      <c r="L165" s="20">
        <f t="shared" si="17"/>
        <v>0.18139534883720931</v>
      </c>
      <c r="M165" s="24">
        <f t="shared" si="13"/>
        <v>232.55813953488374</v>
      </c>
      <c r="N165" s="11">
        <f t="shared" si="14"/>
        <v>1181.3953488372094</v>
      </c>
      <c r="O165" s="20">
        <f t="shared" si="15"/>
        <v>0.18139534883720945</v>
      </c>
      <c r="P165" s="2">
        <f t="shared" si="16"/>
        <v>0.1899999999999995</v>
      </c>
    </row>
    <row r="166" spans="1:16" ht="15" customHeight="1" x14ac:dyDescent="0.15">
      <c r="A166" s="7" t="s">
        <v>10</v>
      </c>
      <c r="B166" s="7" t="s">
        <v>11</v>
      </c>
      <c r="C166" s="8" t="s">
        <v>100</v>
      </c>
      <c r="D166" s="2">
        <v>5.08</v>
      </c>
      <c r="E166" s="2">
        <v>5.3</v>
      </c>
      <c r="F166" s="2">
        <v>5.03</v>
      </c>
      <c r="G166" s="2">
        <v>5.29</v>
      </c>
      <c r="H166" s="17">
        <v>137772</v>
      </c>
      <c r="I166" s="11">
        <v>599.99</v>
      </c>
      <c r="J166" s="14">
        <v>113419775</v>
      </c>
      <c r="K166">
        <f t="shared" si="12"/>
        <v>45708</v>
      </c>
      <c r="L166" s="20">
        <f t="shared" si="17"/>
        <v>0.23023255813953503</v>
      </c>
      <c r="M166" s="24">
        <f t="shared" si="13"/>
        <v>232.55813953488374</v>
      </c>
      <c r="N166" s="11">
        <f t="shared" si="14"/>
        <v>1230.2325581395351</v>
      </c>
      <c r="O166" s="20">
        <f t="shared" si="15"/>
        <v>0.23023255813953505</v>
      </c>
      <c r="P166" s="2">
        <f t="shared" si="16"/>
        <v>0.26999999999999957</v>
      </c>
    </row>
    <row r="167" spans="1:16" ht="15" customHeight="1" x14ac:dyDescent="0.15">
      <c r="A167" s="7" t="s">
        <v>10</v>
      </c>
      <c r="B167" s="7" t="s">
        <v>11</v>
      </c>
      <c r="C167" s="8" t="s">
        <v>99</v>
      </c>
      <c r="D167" s="2">
        <v>5.29</v>
      </c>
      <c r="E167" s="2">
        <v>5.35</v>
      </c>
      <c r="F167" s="2">
        <v>5.24</v>
      </c>
      <c r="G167" s="2">
        <v>5.29</v>
      </c>
      <c r="H167" s="17">
        <v>114421</v>
      </c>
      <c r="I167" s="11">
        <v>599.99</v>
      </c>
      <c r="J167" s="14">
        <v>113419775</v>
      </c>
      <c r="K167">
        <f t="shared" si="12"/>
        <v>45709</v>
      </c>
      <c r="L167" s="20">
        <f t="shared" si="17"/>
        <v>0.23023255813953503</v>
      </c>
      <c r="M167" s="24">
        <f t="shared" si="13"/>
        <v>232.55813953488374</v>
      </c>
      <c r="N167" s="11">
        <f t="shared" si="14"/>
        <v>1230.2325581395351</v>
      </c>
      <c r="O167" s="20">
        <f t="shared" si="15"/>
        <v>0.23023255813953505</v>
      </c>
      <c r="P167" s="2">
        <f t="shared" si="16"/>
        <v>0.10999999999999943</v>
      </c>
    </row>
    <row r="168" spans="1:16" ht="15" customHeight="1" x14ac:dyDescent="0.15">
      <c r="A168" s="7" t="s">
        <v>10</v>
      </c>
      <c r="B168" s="7" t="s">
        <v>11</v>
      </c>
      <c r="C168" s="8" t="s">
        <v>98</v>
      </c>
      <c r="D168" s="2">
        <v>5.23</v>
      </c>
      <c r="E168" s="2">
        <v>5.39</v>
      </c>
      <c r="F168" s="2">
        <v>5.19</v>
      </c>
      <c r="G168" s="2">
        <v>5.21</v>
      </c>
      <c r="H168" s="17">
        <v>91641</v>
      </c>
      <c r="I168" s="11">
        <v>590.91999999999996</v>
      </c>
      <c r="J168" s="14">
        <v>113419775</v>
      </c>
      <c r="K168">
        <f t="shared" si="12"/>
        <v>45712</v>
      </c>
      <c r="L168" s="20">
        <f t="shared" si="17"/>
        <v>0.21162790697674416</v>
      </c>
      <c r="M168" s="24">
        <f t="shared" si="13"/>
        <v>232.55813953488374</v>
      </c>
      <c r="N168" s="11">
        <f t="shared" si="14"/>
        <v>1211.6279069767443</v>
      </c>
      <c r="O168" s="20">
        <f t="shared" si="15"/>
        <v>0.21162790697674427</v>
      </c>
      <c r="P168" s="2">
        <f t="shared" si="16"/>
        <v>0.19999999999999929</v>
      </c>
    </row>
    <row r="169" spans="1:16" ht="15" customHeight="1" x14ac:dyDescent="0.15">
      <c r="A169" s="7" t="s">
        <v>10</v>
      </c>
      <c r="B169" s="7" t="s">
        <v>11</v>
      </c>
      <c r="C169" s="8" t="s">
        <v>97</v>
      </c>
      <c r="D169" s="2">
        <v>5.3</v>
      </c>
      <c r="E169" s="2">
        <v>5.3</v>
      </c>
      <c r="F169" s="2">
        <v>5.09</v>
      </c>
      <c r="G169" s="2">
        <v>5.15</v>
      </c>
      <c r="H169" s="17">
        <v>222881</v>
      </c>
      <c r="I169" s="11">
        <v>584.11</v>
      </c>
      <c r="J169" s="14">
        <v>113419775</v>
      </c>
      <c r="K169">
        <f t="shared" si="12"/>
        <v>45713</v>
      </c>
      <c r="L169" s="20">
        <f t="shared" si="17"/>
        <v>0.19767441860465129</v>
      </c>
      <c r="M169" s="24">
        <f t="shared" si="13"/>
        <v>232.55813953488374</v>
      </c>
      <c r="N169" s="11">
        <f t="shared" si="14"/>
        <v>1197.6744186046512</v>
      </c>
      <c r="O169" s="20">
        <f t="shared" si="15"/>
        <v>0.19767441860465124</v>
      </c>
      <c r="P169" s="2">
        <f t="shared" si="16"/>
        <v>0.20999999999999996</v>
      </c>
    </row>
    <row r="170" spans="1:16" ht="15" customHeight="1" x14ac:dyDescent="0.15">
      <c r="A170" s="7" t="s">
        <v>10</v>
      </c>
      <c r="B170" s="7" t="s">
        <v>11</v>
      </c>
      <c r="C170" s="8" t="s">
        <v>96</v>
      </c>
      <c r="D170" s="2">
        <v>5.13</v>
      </c>
      <c r="E170" s="2">
        <v>5.13</v>
      </c>
      <c r="F170" s="2">
        <v>4.9800000000000004</v>
      </c>
      <c r="G170" s="2">
        <v>5.07</v>
      </c>
      <c r="H170" s="17">
        <v>63543</v>
      </c>
      <c r="I170" s="11">
        <v>575.04</v>
      </c>
      <c r="J170" s="14">
        <v>113419775</v>
      </c>
      <c r="K170">
        <f t="shared" si="12"/>
        <v>45714</v>
      </c>
      <c r="L170" s="20">
        <f t="shared" si="17"/>
        <v>0.17906976744186065</v>
      </c>
      <c r="M170" s="24">
        <f t="shared" si="13"/>
        <v>232.55813953488374</v>
      </c>
      <c r="N170" s="11">
        <f t="shared" si="14"/>
        <v>1179.0697674418607</v>
      </c>
      <c r="O170" s="20">
        <f t="shared" si="15"/>
        <v>0.17906976744186068</v>
      </c>
      <c r="P170" s="2">
        <f t="shared" si="16"/>
        <v>0.14999999999999947</v>
      </c>
    </row>
    <row r="171" spans="1:16" ht="15" customHeight="1" x14ac:dyDescent="0.15">
      <c r="A171" s="7" t="s">
        <v>10</v>
      </c>
      <c r="B171" s="7" t="s">
        <v>11</v>
      </c>
      <c r="C171" s="8" t="s">
        <v>95</v>
      </c>
      <c r="D171" s="2">
        <v>5.25</v>
      </c>
      <c r="E171" s="2">
        <v>6.27</v>
      </c>
      <c r="F171" s="2">
        <v>5.25</v>
      </c>
      <c r="G171" s="2">
        <v>6.2</v>
      </c>
      <c r="H171" s="17">
        <v>684134</v>
      </c>
      <c r="I171" s="11">
        <v>703.2</v>
      </c>
      <c r="J171" s="14">
        <v>113419775</v>
      </c>
      <c r="K171">
        <f t="shared" si="12"/>
        <v>45715</v>
      </c>
      <c r="L171" s="20">
        <f t="shared" si="17"/>
        <v>0.44186046511627919</v>
      </c>
      <c r="M171" s="24">
        <f t="shared" si="13"/>
        <v>232.55813953488374</v>
      </c>
      <c r="N171" s="11">
        <f t="shared" si="14"/>
        <v>1441.8604651162791</v>
      </c>
      <c r="O171" s="20">
        <f t="shared" si="15"/>
        <v>0.44186046511627908</v>
      </c>
      <c r="P171" s="2">
        <f t="shared" si="16"/>
        <v>1.0199999999999996</v>
      </c>
    </row>
    <row r="172" spans="1:16" ht="15" customHeight="1" x14ac:dyDescent="0.15">
      <c r="A172" s="7" t="s">
        <v>10</v>
      </c>
      <c r="B172" s="7" t="s">
        <v>11</v>
      </c>
      <c r="C172" s="8" t="s">
        <v>94</v>
      </c>
      <c r="D172" s="2">
        <v>6.17</v>
      </c>
      <c r="E172" s="2">
        <v>6.34</v>
      </c>
      <c r="F172" s="2">
        <v>6.12</v>
      </c>
      <c r="G172" s="2">
        <v>6.23</v>
      </c>
      <c r="H172" s="17">
        <v>293824</v>
      </c>
      <c r="I172" s="11">
        <v>706.61</v>
      </c>
      <c r="J172" s="14">
        <v>113419775</v>
      </c>
      <c r="K172">
        <f t="shared" si="12"/>
        <v>45716</v>
      </c>
      <c r="L172" s="20">
        <f t="shared" si="17"/>
        <v>0.44883720930232585</v>
      </c>
      <c r="M172" s="24">
        <f t="shared" si="13"/>
        <v>232.55813953488374</v>
      </c>
      <c r="N172" s="11">
        <f t="shared" si="14"/>
        <v>1448.8372093023258</v>
      </c>
      <c r="O172" s="20">
        <f t="shared" si="15"/>
        <v>0.44883720930232585</v>
      </c>
      <c r="P172" s="2">
        <f t="shared" si="16"/>
        <v>0.21999999999999975</v>
      </c>
    </row>
    <row r="173" spans="1:16" s="44" customFormat="1" ht="15" customHeight="1" x14ac:dyDescent="0.15">
      <c r="A173" s="38" t="s">
        <v>10</v>
      </c>
      <c r="B173" s="38" t="s">
        <v>11</v>
      </c>
      <c r="C173" s="39" t="s">
        <v>93</v>
      </c>
      <c r="D173" s="40">
        <v>6.27</v>
      </c>
      <c r="E173" s="40">
        <v>6.54</v>
      </c>
      <c r="F173" s="40">
        <v>6.26</v>
      </c>
      <c r="G173" s="40">
        <v>6.46</v>
      </c>
      <c r="H173" s="41">
        <v>282357</v>
      </c>
      <c r="I173" s="42">
        <v>732.69</v>
      </c>
      <c r="J173" s="43">
        <v>113419775</v>
      </c>
      <c r="K173" s="44">
        <f t="shared" si="12"/>
        <v>45719</v>
      </c>
      <c r="L173" s="45">
        <f t="shared" si="17"/>
        <v>0.50232558139534889</v>
      </c>
      <c r="M173" s="46">
        <f t="shared" si="13"/>
        <v>232.55813953488374</v>
      </c>
      <c r="N173" s="42">
        <f t="shared" si="14"/>
        <v>1502.325581395349</v>
      </c>
      <c r="O173" s="45">
        <f t="shared" si="15"/>
        <v>0.502325581395349</v>
      </c>
      <c r="P173" s="40">
        <f t="shared" si="16"/>
        <v>0.28000000000000025</v>
      </c>
    </row>
    <row r="174" spans="1:16" ht="15" customHeight="1" x14ac:dyDescent="0.15">
      <c r="A174" s="7" t="s">
        <v>10</v>
      </c>
      <c r="B174" s="7" t="s">
        <v>11</v>
      </c>
      <c r="C174" s="8" t="s">
        <v>92</v>
      </c>
      <c r="D174" s="2">
        <v>6.38</v>
      </c>
      <c r="E174" s="2">
        <v>6.44</v>
      </c>
      <c r="F174" s="2">
        <v>6.33</v>
      </c>
      <c r="G174" s="2">
        <v>6.43</v>
      </c>
      <c r="H174" s="17">
        <v>180998</v>
      </c>
      <c r="I174" s="11">
        <v>729.29</v>
      </c>
      <c r="J174" s="14">
        <v>113419775</v>
      </c>
      <c r="K174">
        <f t="shared" si="12"/>
        <v>45720</v>
      </c>
      <c r="L174" s="20">
        <f t="shared" si="17"/>
        <v>0.49534883720930223</v>
      </c>
      <c r="M174" s="24">
        <f t="shared" si="13"/>
        <v>232.55813953488374</v>
      </c>
      <c r="N174" s="11">
        <f t="shared" si="14"/>
        <v>1495.3488372093022</v>
      </c>
      <c r="O174" s="20">
        <f t="shared" si="15"/>
        <v>0.49534883720930223</v>
      </c>
      <c r="P174" s="2">
        <f t="shared" si="16"/>
        <v>0.11000000000000032</v>
      </c>
    </row>
    <row r="175" spans="1:16" ht="15" customHeight="1" x14ac:dyDescent="0.15">
      <c r="A175" s="7" t="s">
        <v>10</v>
      </c>
      <c r="B175" s="7" t="s">
        <v>11</v>
      </c>
      <c r="C175" s="8" t="s">
        <v>91</v>
      </c>
      <c r="D175" s="2">
        <v>6.26</v>
      </c>
      <c r="E175" s="2">
        <v>6.3550000000000004</v>
      </c>
      <c r="F175" s="2">
        <v>6</v>
      </c>
      <c r="G175" s="2">
        <v>6.02</v>
      </c>
      <c r="H175" s="17">
        <v>157166</v>
      </c>
      <c r="I175" s="11">
        <v>682.79</v>
      </c>
      <c r="J175" s="14">
        <v>113419775</v>
      </c>
      <c r="K175">
        <f t="shared" si="12"/>
        <v>45721</v>
      </c>
      <c r="L175" s="20">
        <f t="shared" si="17"/>
        <v>0.39999999999999991</v>
      </c>
      <c r="M175" s="24">
        <f t="shared" si="13"/>
        <v>232.55813953488374</v>
      </c>
      <c r="N175" s="11">
        <f t="shared" si="14"/>
        <v>1400</v>
      </c>
      <c r="O175" s="20">
        <f t="shared" si="15"/>
        <v>0.4</v>
      </c>
      <c r="P175" s="2">
        <f t="shared" si="16"/>
        <v>0.35500000000000043</v>
      </c>
    </row>
    <row r="176" spans="1:16" ht="15" customHeight="1" x14ac:dyDescent="0.15">
      <c r="A176" s="7" t="s">
        <v>10</v>
      </c>
      <c r="B176" s="7" t="s">
        <v>11</v>
      </c>
      <c r="C176" s="8" t="s">
        <v>90</v>
      </c>
      <c r="D176" s="2">
        <v>6.06</v>
      </c>
      <c r="E176" s="2">
        <v>6.21</v>
      </c>
      <c r="F176" s="2">
        <v>6.02</v>
      </c>
      <c r="G176" s="2">
        <v>6.02</v>
      </c>
      <c r="H176" s="17">
        <v>82948</v>
      </c>
      <c r="I176" s="11">
        <v>682.79</v>
      </c>
      <c r="J176" s="14">
        <v>113419775</v>
      </c>
      <c r="K176">
        <f t="shared" si="12"/>
        <v>45722</v>
      </c>
      <c r="L176" s="20">
        <f t="shared" si="17"/>
        <v>0.39999999999999991</v>
      </c>
      <c r="M176" s="24">
        <f t="shared" si="13"/>
        <v>232.55813953488374</v>
      </c>
      <c r="N176" s="11">
        <f t="shared" si="14"/>
        <v>1400</v>
      </c>
      <c r="O176" s="20">
        <f t="shared" si="15"/>
        <v>0.4</v>
      </c>
      <c r="P176" s="2">
        <f t="shared" si="16"/>
        <v>0.19000000000000039</v>
      </c>
    </row>
    <row r="177" spans="1:16" ht="15" customHeight="1" x14ac:dyDescent="0.15">
      <c r="A177" s="7" t="s">
        <v>10</v>
      </c>
      <c r="B177" s="7" t="s">
        <v>11</v>
      </c>
      <c r="C177" s="8" t="s">
        <v>89</v>
      </c>
      <c r="D177" s="2">
        <v>5.92</v>
      </c>
      <c r="E177" s="2">
        <v>6</v>
      </c>
      <c r="F177" s="2">
        <v>5.68</v>
      </c>
      <c r="G177" s="2">
        <v>5.69</v>
      </c>
      <c r="H177" s="17">
        <v>107665</v>
      </c>
      <c r="I177" s="11">
        <v>645.36</v>
      </c>
      <c r="J177" s="14">
        <v>113419775</v>
      </c>
      <c r="K177">
        <f t="shared" si="12"/>
        <v>45723</v>
      </c>
      <c r="L177" s="20">
        <f t="shared" si="17"/>
        <v>0.32325581395348846</v>
      </c>
      <c r="M177" s="24">
        <f t="shared" si="13"/>
        <v>232.55813953488374</v>
      </c>
      <c r="N177" s="11">
        <f t="shared" si="14"/>
        <v>1323.2558139534885</v>
      </c>
      <c r="O177" s="20">
        <f t="shared" si="15"/>
        <v>0.32325581395348857</v>
      </c>
      <c r="P177" s="2">
        <f t="shared" si="16"/>
        <v>0.32000000000000028</v>
      </c>
    </row>
    <row r="178" spans="1:16" ht="15" customHeight="1" x14ac:dyDescent="0.15">
      <c r="A178" s="7" t="s">
        <v>10</v>
      </c>
      <c r="B178" s="7" t="s">
        <v>11</v>
      </c>
      <c r="C178" s="8" t="s">
        <v>88</v>
      </c>
      <c r="D178" s="2">
        <v>5.71</v>
      </c>
      <c r="E178" s="2">
        <v>5.82</v>
      </c>
      <c r="F178" s="2">
        <v>5.59</v>
      </c>
      <c r="G178" s="2">
        <v>5.64</v>
      </c>
      <c r="H178" s="17">
        <v>77329</v>
      </c>
      <c r="I178" s="11">
        <v>639.69000000000005</v>
      </c>
      <c r="J178" s="14">
        <v>113419775</v>
      </c>
      <c r="K178">
        <f t="shared" si="12"/>
        <v>45726</v>
      </c>
      <c r="L178" s="20">
        <f t="shared" si="17"/>
        <v>0.31162790697674425</v>
      </c>
      <c r="M178" s="24">
        <f t="shared" si="13"/>
        <v>232.55813953488374</v>
      </c>
      <c r="N178" s="11">
        <f t="shared" si="14"/>
        <v>1311.6279069767443</v>
      </c>
      <c r="O178" s="20">
        <f t="shared" si="15"/>
        <v>0.31162790697674425</v>
      </c>
      <c r="P178" s="2">
        <f t="shared" si="16"/>
        <v>0.23000000000000043</v>
      </c>
    </row>
    <row r="179" spans="1:16" ht="15" customHeight="1" x14ac:dyDescent="0.15">
      <c r="A179" s="7" t="s">
        <v>10</v>
      </c>
      <c r="B179" s="7" t="s">
        <v>11</v>
      </c>
      <c r="C179" s="8" t="s">
        <v>87</v>
      </c>
      <c r="D179" s="2">
        <v>5.5</v>
      </c>
      <c r="E179" s="2">
        <v>5.64</v>
      </c>
      <c r="F179" s="2">
        <v>5.23</v>
      </c>
      <c r="G179" s="2">
        <v>5.27</v>
      </c>
      <c r="H179" s="17">
        <v>165225</v>
      </c>
      <c r="I179" s="11">
        <v>597.72</v>
      </c>
      <c r="J179" s="14">
        <v>113419775</v>
      </c>
      <c r="K179">
        <f t="shared" si="12"/>
        <v>45727</v>
      </c>
      <c r="L179" s="20">
        <f t="shared" si="17"/>
        <v>0.22558139534883725</v>
      </c>
      <c r="M179" s="24">
        <f t="shared" si="13"/>
        <v>232.55813953488374</v>
      </c>
      <c r="N179" s="11">
        <f t="shared" si="14"/>
        <v>1225.5813953488371</v>
      </c>
      <c r="O179" s="20">
        <f t="shared" si="15"/>
        <v>0.22558139534883709</v>
      </c>
      <c r="P179" s="2">
        <f t="shared" si="16"/>
        <v>0.40999999999999925</v>
      </c>
    </row>
    <row r="180" spans="1:16" ht="15" customHeight="1" x14ac:dyDescent="0.15">
      <c r="A180" s="7" t="s">
        <v>10</v>
      </c>
      <c r="B180" s="7" t="s">
        <v>11</v>
      </c>
      <c r="C180" s="8" t="s">
        <v>86</v>
      </c>
      <c r="D180" s="2">
        <v>5.22</v>
      </c>
      <c r="E180" s="2">
        <v>5.47</v>
      </c>
      <c r="F180" s="2">
        <v>5.12</v>
      </c>
      <c r="G180" s="2">
        <v>5.43</v>
      </c>
      <c r="H180" s="17">
        <v>139528</v>
      </c>
      <c r="I180" s="11">
        <v>615.87</v>
      </c>
      <c r="J180" s="14">
        <v>113419775</v>
      </c>
      <c r="K180">
        <f t="shared" si="12"/>
        <v>45728</v>
      </c>
      <c r="L180" s="20">
        <f t="shared" si="17"/>
        <v>0.26279069767441854</v>
      </c>
      <c r="M180" s="24">
        <f t="shared" si="13"/>
        <v>232.55813953488374</v>
      </c>
      <c r="N180" s="11">
        <f t="shared" si="14"/>
        <v>1262.7906976744187</v>
      </c>
      <c r="O180" s="20">
        <f t="shared" si="15"/>
        <v>0.26279069767441865</v>
      </c>
      <c r="P180" s="2">
        <f t="shared" si="16"/>
        <v>0.34999999999999964</v>
      </c>
    </row>
    <row r="181" spans="1:16" ht="15" customHeight="1" x14ac:dyDescent="0.15">
      <c r="A181" s="7" t="s">
        <v>10</v>
      </c>
      <c r="B181" s="7" t="s">
        <v>11</v>
      </c>
      <c r="C181" s="8" t="s">
        <v>85</v>
      </c>
      <c r="D181" s="2">
        <v>5.44</v>
      </c>
      <c r="E181" s="2">
        <v>5.62</v>
      </c>
      <c r="F181" s="2">
        <v>5.35</v>
      </c>
      <c r="G181" s="2">
        <v>5.6</v>
      </c>
      <c r="H181" s="17">
        <v>118328</v>
      </c>
      <c r="I181" s="11">
        <v>635.15</v>
      </c>
      <c r="J181" s="14">
        <v>113419775</v>
      </c>
      <c r="K181">
        <f t="shared" si="12"/>
        <v>45729</v>
      </c>
      <c r="L181" s="20">
        <f t="shared" si="17"/>
        <v>0.30232558139534871</v>
      </c>
      <c r="M181" s="24">
        <f t="shared" si="13"/>
        <v>232.55813953488374</v>
      </c>
      <c r="N181" s="11">
        <f t="shared" si="14"/>
        <v>1302.3255813953488</v>
      </c>
      <c r="O181" s="20">
        <f t="shared" si="15"/>
        <v>0.30232558139534876</v>
      </c>
      <c r="P181" s="2">
        <f t="shared" si="16"/>
        <v>0.27000000000000046</v>
      </c>
    </row>
    <row r="182" spans="1:16" ht="15" customHeight="1" x14ac:dyDescent="0.15">
      <c r="A182" s="7" t="s">
        <v>10</v>
      </c>
      <c r="B182" s="7" t="s">
        <v>11</v>
      </c>
      <c r="C182" s="8" t="s">
        <v>84</v>
      </c>
      <c r="D182" s="2">
        <v>5.58</v>
      </c>
      <c r="E182" s="2">
        <v>5.6849999999999996</v>
      </c>
      <c r="F182" s="2">
        <v>5.5</v>
      </c>
      <c r="G182" s="2">
        <v>5.61</v>
      </c>
      <c r="H182" s="17">
        <v>148185</v>
      </c>
      <c r="I182" s="11">
        <v>636.28</v>
      </c>
      <c r="J182" s="14">
        <v>113419775</v>
      </c>
      <c r="K182">
        <f t="shared" si="12"/>
        <v>45730</v>
      </c>
      <c r="L182" s="20">
        <f t="shared" si="17"/>
        <v>0.30465116279069782</v>
      </c>
      <c r="M182" s="24">
        <f t="shared" si="13"/>
        <v>232.55813953488374</v>
      </c>
      <c r="N182" s="11">
        <f t="shared" si="14"/>
        <v>1304.6511627906978</v>
      </c>
      <c r="O182" s="20">
        <f t="shared" si="15"/>
        <v>0.30465116279069776</v>
      </c>
      <c r="P182" s="2">
        <f t="shared" si="16"/>
        <v>0.18499999999999961</v>
      </c>
    </row>
    <row r="183" spans="1:16" ht="15" customHeight="1" x14ac:dyDescent="0.15">
      <c r="A183" s="7" t="s">
        <v>10</v>
      </c>
      <c r="B183" s="7" t="s">
        <v>11</v>
      </c>
      <c r="C183" s="8" t="s">
        <v>83</v>
      </c>
      <c r="D183" s="2">
        <v>5.66</v>
      </c>
      <c r="E183" s="2">
        <v>5.79</v>
      </c>
      <c r="F183" s="2">
        <v>5.62</v>
      </c>
      <c r="G183" s="2">
        <v>5.65</v>
      </c>
      <c r="H183" s="17">
        <v>127555</v>
      </c>
      <c r="I183" s="11">
        <v>640.82000000000005</v>
      </c>
      <c r="J183" s="14">
        <v>113419775</v>
      </c>
      <c r="K183">
        <f t="shared" si="12"/>
        <v>45733</v>
      </c>
      <c r="L183" s="20">
        <f t="shared" si="17"/>
        <v>0.31395348837209314</v>
      </c>
      <c r="M183" s="24">
        <f t="shared" si="13"/>
        <v>232.55813953488374</v>
      </c>
      <c r="N183" s="11">
        <f t="shared" si="14"/>
        <v>1313.9534883720933</v>
      </c>
      <c r="O183" s="20">
        <f t="shared" si="15"/>
        <v>0.31395348837209325</v>
      </c>
      <c r="P183" s="2">
        <f t="shared" si="16"/>
        <v>0.16999999999999993</v>
      </c>
    </row>
    <row r="184" spans="1:16" ht="15" customHeight="1" x14ac:dyDescent="0.15">
      <c r="A184" s="7" t="s">
        <v>10</v>
      </c>
      <c r="B184" s="7" t="s">
        <v>11</v>
      </c>
      <c r="C184" s="8" t="s">
        <v>82</v>
      </c>
      <c r="D184" s="2">
        <v>5.65</v>
      </c>
      <c r="E184" s="2">
        <v>5.78</v>
      </c>
      <c r="F184" s="2">
        <v>5.49</v>
      </c>
      <c r="G184" s="2">
        <v>5.55</v>
      </c>
      <c r="H184" s="17">
        <v>100460</v>
      </c>
      <c r="I184" s="11">
        <v>629.48</v>
      </c>
      <c r="J184" s="14">
        <v>113419775</v>
      </c>
      <c r="K184">
        <f t="shared" si="12"/>
        <v>45734</v>
      </c>
      <c r="L184" s="20">
        <f t="shared" si="17"/>
        <v>0.29069767441860472</v>
      </c>
      <c r="M184" s="24">
        <f t="shared" si="13"/>
        <v>232.55813953488374</v>
      </c>
      <c r="N184" s="11">
        <f t="shared" si="14"/>
        <v>1290.6976744186047</v>
      </c>
      <c r="O184" s="20">
        <f t="shared" si="15"/>
        <v>0.29069767441860472</v>
      </c>
      <c r="P184" s="2">
        <f t="shared" si="16"/>
        <v>0.29000000000000004</v>
      </c>
    </row>
    <row r="185" spans="1:16" ht="15" customHeight="1" x14ac:dyDescent="0.15">
      <c r="A185" s="7" t="s">
        <v>10</v>
      </c>
      <c r="B185" s="7" t="s">
        <v>11</v>
      </c>
      <c r="C185" s="8" t="s">
        <v>81</v>
      </c>
      <c r="D185" s="2">
        <v>5.57</v>
      </c>
      <c r="E185" s="2">
        <v>5.82</v>
      </c>
      <c r="F185" s="2">
        <v>5.56</v>
      </c>
      <c r="G185" s="2">
        <v>5.68</v>
      </c>
      <c r="H185" s="17">
        <v>117996</v>
      </c>
      <c r="I185" s="11">
        <v>644.22</v>
      </c>
      <c r="J185" s="14">
        <v>113419775</v>
      </c>
      <c r="K185">
        <f t="shared" si="12"/>
        <v>45735</v>
      </c>
      <c r="L185" s="20">
        <f t="shared" si="17"/>
        <v>0.32093023255813957</v>
      </c>
      <c r="M185" s="24">
        <f t="shared" si="13"/>
        <v>232.55813953488374</v>
      </c>
      <c r="N185" s="11">
        <f t="shared" si="14"/>
        <v>1320.9302325581396</v>
      </c>
      <c r="O185" s="20">
        <f t="shared" si="15"/>
        <v>0.32093023255813957</v>
      </c>
      <c r="P185" s="2">
        <f t="shared" si="16"/>
        <v>0.26000000000000068</v>
      </c>
    </row>
    <row r="186" spans="1:16" ht="15" customHeight="1" x14ac:dyDescent="0.15">
      <c r="A186" s="7" t="s">
        <v>10</v>
      </c>
      <c r="B186" s="7" t="s">
        <v>11</v>
      </c>
      <c r="C186" s="8" t="s">
        <v>80</v>
      </c>
      <c r="D186" s="2">
        <v>5.79</v>
      </c>
      <c r="E186" s="2">
        <v>5.99</v>
      </c>
      <c r="F186" s="2">
        <v>5.71</v>
      </c>
      <c r="G186" s="2">
        <v>5.9</v>
      </c>
      <c r="H186" s="17">
        <v>230788</v>
      </c>
      <c r="I186" s="11">
        <v>669.18</v>
      </c>
      <c r="J186" s="14">
        <v>113419775</v>
      </c>
      <c r="K186">
        <f t="shared" si="12"/>
        <v>45736</v>
      </c>
      <c r="L186" s="20">
        <f t="shared" si="17"/>
        <v>0.37209302325581417</v>
      </c>
      <c r="M186" s="24">
        <f t="shared" si="13"/>
        <v>232.55813953488374</v>
      </c>
      <c r="N186" s="11">
        <f t="shared" si="14"/>
        <v>1372.0930232558142</v>
      </c>
      <c r="O186" s="20">
        <f t="shared" si="15"/>
        <v>0.37209302325581417</v>
      </c>
      <c r="P186" s="2">
        <f t="shared" si="16"/>
        <v>0.28000000000000025</v>
      </c>
    </row>
    <row r="187" spans="1:16" ht="15" customHeight="1" x14ac:dyDescent="0.15">
      <c r="A187" s="7" t="s">
        <v>10</v>
      </c>
      <c r="B187" s="7" t="s">
        <v>11</v>
      </c>
      <c r="C187" s="8" t="s">
        <v>79</v>
      </c>
      <c r="D187" s="2">
        <v>5.9</v>
      </c>
      <c r="E187" s="2">
        <v>5.91</v>
      </c>
      <c r="F187" s="2">
        <v>5.74</v>
      </c>
      <c r="G187" s="2">
        <v>5.81</v>
      </c>
      <c r="H187" s="17">
        <v>212062</v>
      </c>
      <c r="I187" s="11">
        <v>658.97</v>
      </c>
      <c r="J187" s="14">
        <v>113419775</v>
      </c>
      <c r="K187">
        <f t="shared" si="12"/>
        <v>45737</v>
      </c>
      <c r="L187" s="20">
        <f t="shared" si="17"/>
        <v>0.35116279069767442</v>
      </c>
      <c r="M187" s="24">
        <f t="shared" si="13"/>
        <v>232.55813953488374</v>
      </c>
      <c r="N187" s="11">
        <f t="shared" si="14"/>
        <v>1351.1627906976744</v>
      </c>
      <c r="O187" s="20">
        <f t="shared" si="15"/>
        <v>0.35116279069767437</v>
      </c>
      <c r="P187" s="2">
        <f t="shared" si="16"/>
        <v>0.16999999999999993</v>
      </c>
    </row>
    <row r="188" spans="1:16" ht="15" customHeight="1" x14ac:dyDescent="0.15">
      <c r="A188" s="7" t="s">
        <v>10</v>
      </c>
      <c r="B188" s="7" t="s">
        <v>11</v>
      </c>
      <c r="C188" s="8" t="s">
        <v>78</v>
      </c>
      <c r="D188" s="2">
        <v>5.78</v>
      </c>
      <c r="E188" s="2">
        <v>5.8</v>
      </c>
      <c r="F188" s="2">
        <v>5.65</v>
      </c>
      <c r="G188" s="2">
        <v>5.77</v>
      </c>
      <c r="H188" s="17">
        <v>75298</v>
      </c>
      <c r="I188" s="11">
        <v>654.42999999999995</v>
      </c>
      <c r="J188" s="14">
        <v>113419775</v>
      </c>
      <c r="K188">
        <f t="shared" si="12"/>
        <v>45740</v>
      </c>
      <c r="L188" s="20">
        <f t="shared" si="17"/>
        <v>0.3418604651162791</v>
      </c>
      <c r="M188" s="24">
        <f t="shared" si="13"/>
        <v>232.55813953488374</v>
      </c>
      <c r="N188" s="11">
        <f t="shared" si="14"/>
        <v>1341.8604651162791</v>
      </c>
      <c r="O188" s="20">
        <f t="shared" si="15"/>
        <v>0.3418604651162791</v>
      </c>
      <c r="P188" s="2">
        <f t="shared" si="16"/>
        <v>0.14999999999999947</v>
      </c>
    </row>
    <row r="189" spans="1:16" ht="15" customHeight="1" x14ac:dyDescent="0.15">
      <c r="A189" s="7" t="s">
        <v>10</v>
      </c>
      <c r="B189" s="7" t="s">
        <v>11</v>
      </c>
      <c r="C189" s="8" t="s">
        <v>77</v>
      </c>
      <c r="D189" s="2">
        <v>5.76</v>
      </c>
      <c r="E189" s="2">
        <v>5.9</v>
      </c>
      <c r="F189" s="2">
        <v>5.76</v>
      </c>
      <c r="G189" s="2">
        <v>5.89</v>
      </c>
      <c r="H189" s="17">
        <v>97171</v>
      </c>
      <c r="I189" s="11">
        <v>668.04</v>
      </c>
      <c r="J189" s="14">
        <v>113419775</v>
      </c>
      <c r="K189">
        <f t="shared" si="12"/>
        <v>45741</v>
      </c>
      <c r="L189" s="20">
        <f t="shared" si="17"/>
        <v>0.36976744186046506</v>
      </c>
      <c r="M189" s="24">
        <f t="shared" si="13"/>
        <v>232.55813953488374</v>
      </c>
      <c r="N189" s="11">
        <f t="shared" si="14"/>
        <v>1369.7674418604652</v>
      </c>
      <c r="O189" s="20">
        <f t="shared" si="15"/>
        <v>0.36976744186046517</v>
      </c>
      <c r="P189" s="2">
        <f t="shared" si="16"/>
        <v>0.14000000000000057</v>
      </c>
    </row>
    <row r="190" spans="1:16" ht="15" customHeight="1" x14ac:dyDescent="0.15">
      <c r="A190" s="7" t="s">
        <v>10</v>
      </c>
      <c r="B190" s="7" t="s">
        <v>11</v>
      </c>
      <c r="C190" s="8" t="s">
        <v>76</v>
      </c>
      <c r="D190" s="2">
        <v>5.9</v>
      </c>
      <c r="E190" s="2">
        <v>5.95</v>
      </c>
      <c r="F190" s="2">
        <v>5.83</v>
      </c>
      <c r="G190" s="2">
        <v>5.89</v>
      </c>
      <c r="H190" s="17">
        <v>251623</v>
      </c>
      <c r="I190" s="11">
        <v>668.04</v>
      </c>
      <c r="J190" s="14">
        <v>113419775</v>
      </c>
      <c r="K190">
        <f t="shared" si="12"/>
        <v>45742</v>
      </c>
      <c r="L190" s="20">
        <f t="shared" si="17"/>
        <v>0.36976744186046506</v>
      </c>
      <c r="M190" s="24">
        <f t="shared" si="13"/>
        <v>232.55813953488374</v>
      </c>
      <c r="N190" s="11">
        <f t="shared" si="14"/>
        <v>1369.7674418604652</v>
      </c>
      <c r="O190" s="20">
        <f t="shared" si="15"/>
        <v>0.36976744186046517</v>
      </c>
      <c r="P190" s="2">
        <f t="shared" si="16"/>
        <v>0.12000000000000011</v>
      </c>
    </row>
    <row r="191" spans="1:16" ht="15" customHeight="1" x14ac:dyDescent="0.15">
      <c r="A191" s="7" t="s">
        <v>10</v>
      </c>
      <c r="B191" s="7" t="s">
        <v>11</v>
      </c>
      <c r="C191" s="8" t="s">
        <v>75</v>
      </c>
      <c r="D191" s="2">
        <v>5.8</v>
      </c>
      <c r="E191" s="2">
        <v>5.9</v>
      </c>
      <c r="F191" s="2">
        <v>5.8</v>
      </c>
      <c r="G191" s="2">
        <v>5.83</v>
      </c>
      <c r="H191" s="17">
        <v>81062</v>
      </c>
      <c r="I191" s="11">
        <v>661.24</v>
      </c>
      <c r="J191" s="14">
        <v>113419775</v>
      </c>
      <c r="K191">
        <f t="shared" si="12"/>
        <v>45743</v>
      </c>
      <c r="L191" s="20">
        <f t="shared" si="17"/>
        <v>0.35581395348837219</v>
      </c>
      <c r="M191" s="24">
        <f t="shared" si="13"/>
        <v>232.55813953488374</v>
      </c>
      <c r="N191" s="11">
        <f t="shared" si="14"/>
        <v>1355.8139534883721</v>
      </c>
      <c r="O191" s="20">
        <f t="shared" si="15"/>
        <v>0.35581395348837214</v>
      </c>
      <c r="P191" s="2">
        <f t="shared" si="16"/>
        <v>0.10000000000000053</v>
      </c>
    </row>
    <row r="192" spans="1:16" ht="15" customHeight="1" x14ac:dyDescent="0.15">
      <c r="A192" s="7" t="s">
        <v>10</v>
      </c>
      <c r="B192" s="7" t="s">
        <v>11</v>
      </c>
      <c r="C192" s="8" t="s">
        <v>74</v>
      </c>
      <c r="D192" s="2">
        <v>5.9</v>
      </c>
      <c r="E192" s="2">
        <v>5.97</v>
      </c>
      <c r="F192" s="2">
        <v>5.77</v>
      </c>
      <c r="G192" s="2">
        <v>5.95</v>
      </c>
      <c r="H192" s="17">
        <v>122793</v>
      </c>
      <c r="I192" s="11">
        <v>674.85</v>
      </c>
      <c r="J192" s="14">
        <v>113419775</v>
      </c>
      <c r="K192">
        <f t="shared" si="12"/>
        <v>45744</v>
      </c>
      <c r="L192" s="20">
        <f t="shared" si="17"/>
        <v>0.38372093023255816</v>
      </c>
      <c r="M192" s="24">
        <f t="shared" si="13"/>
        <v>232.55813953488374</v>
      </c>
      <c r="N192" s="11">
        <f t="shared" si="14"/>
        <v>1383.7209302325582</v>
      </c>
      <c r="O192" s="20">
        <f t="shared" si="15"/>
        <v>0.38372093023255821</v>
      </c>
      <c r="P192" s="2">
        <f t="shared" si="16"/>
        <v>0.20000000000000018</v>
      </c>
    </row>
    <row r="193" spans="1:16" ht="15" customHeight="1" x14ac:dyDescent="0.15">
      <c r="A193" s="7" t="s">
        <v>10</v>
      </c>
      <c r="B193" s="7" t="s">
        <v>11</v>
      </c>
      <c r="C193" s="8" t="s">
        <v>73</v>
      </c>
      <c r="D193" s="2">
        <v>5.85</v>
      </c>
      <c r="E193" s="2">
        <v>5.95</v>
      </c>
      <c r="F193" s="2">
        <v>5.82</v>
      </c>
      <c r="G193" s="2">
        <v>5.9</v>
      </c>
      <c r="H193" s="17">
        <v>83337</v>
      </c>
      <c r="I193" s="11">
        <v>669.18</v>
      </c>
      <c r="J193" s="14">
        <v>113419775</v>
      </c>
      <c r="K193">
        <f t="shared" si="12"/>
        <v>45747</v>
      </c>
      <c r="L193" s="20">
        <f t="shared" si="17"/>
        <v>0.37209302325581417</v>
      </c>
      <c r="M193" s="24">
        <f t="shared" si="13"/>
        <v>232.55813953488374</v>
      </c>
      <c r="N193" s="11">
        <f t="shared" si="14"/>
        <v>1372.0930232558142</v>
      </c>
      <c r="O193" s="20">
        <f t="shared" si="15"/>
        <v>0.37209302325581417</v>
      </c>
      <c r="P193" s="2">
        <f t="shared" si="16"/>
        <v>0.12999999999999989</v>
      </c>
    </row>
    <row r="194" spans="1:16" ht="15" customHeight="1" x14ac:dyDescent="0.15">
      <c r="A194" s="7" t="s">
        <v>10</v>
      </c>
      <c r="B194" s="7" t="s">
        <v>11</v>
      </c>
      <c r="C194" s="8" t="s">
        <v>72</v>
      </c>
      <c r="D194" s="2">
        <v>5.9</v>
      </c>
      <c r="E194" s="2">
        <v>5.92</v>
      </c>
      <c r="F194" s="2">
        <v>5.8</v>
      </c>
      <c r="G194" s="2">
        <v>5.92</v>
      </c>
      <c r="H194" s="17">
        <v>56740</v>
      </c>
      <c r="I194" s="11">
        <v>671.45</v>
      </c>
      <c r="J194" s="14">
        <v>113419775</v>
      </c>
      <c r="K194">
        <f t="shared" ref="K194:K254" si="18">DATEVALUE(C194)</f>
        <v>45748</v>
      </c>
      <c r="L194" s="20">
        <f t="shared" si="17"/>
        <v>0.37674418604651172</v>
      </c>
      <c r="M194" s="24">
        <f t="shared" si="13"/>
        <v>232.55813953488374</v>
      </c>
      <c r="N194" s="11">
        <f t="shared" si="14"/>
        <v>1376.7441860465117</v>
      </c>
      <c r="O194" s="20">
        <f t="shared" si="15"/>
        <v>0.37674418604651166</v>
      </c>
      <c r="P194" s="2">
        <f t="shared" si="16"/>
        <v>0.12000000000000011</v>
      </c>
    </row>
    <row r="195" spans="1:16" ht="15" customHeight="1" x14ac:dyDescent="0.15">
      <c r="A195" s="7" t="s">
        <v>10</v>
      </c>
      <c r="B195" s="7" t="s">
        <v>11</v>
      </c>
      <c r="C195" s="8" t="s">
        <v>71</v>
      </c>
      <c r="D195" s="2">
        <v>5.95</v>
      </c>
      <c r="E195" s="2">
        <v>6</v>
      </c>
      <c r="F195" s="2">
        <v>5.78</v>
      </c>
      <c r="G195" s="2">
        <v>5.84</v>
      </c>
      <c r="H195" s="17">
        <v>139809</v>
      </c>
      <c r="I195" s="11">
        <v>662.37</v>
      </c>
      <c r="J195" s="14">
        <v>113419775</v>
      </c>
      <c r="K195">
        <f t="shared" si="18"/>
        <v>45749</v>
      </c>
      <c r="L195" s="20">
        <f t="shared" si="17"/>
        <v>0.35813953488372086</v>
      </c>
      <c r="M195" s="24">
        <f t="shared" ref="M195:M254" si="19">1000/$G$2</f>
        <v>232.55813953488374</v>
      </c>
      <c r="N195" s="11">
        <f t="shared" ref="N195:N254" si="20">M195*G195</f>
        <v>1358.1395348837209</v>
      </c>
      <c r="O195" s="20">
        <f t="shared" ref="O195:O254" si="21">(N195-1000)/1000</f>
        <v>0.35813953488372091</v>
      </c>
      <c r="P195" s="2">
        <f t="shared" ref="P195:P254" si="22">E195-F195</f>
        <v>0.21999999999999975</v>
      </c>
    </row>
    <row r="196" spans="1:16" ht="15" customHeight="1" x14ac:dyDescent="0.15">
      <c r="A196" s="7" t="s">
        <v>10</v>
      </c>
      <c r="B196" s="7" t="s">
        <v>11</v>
      </c>
      <c r="C196" s="8" t="s">
        <v>70</v>
      </c>
      <c r="D196" s="2">
        <v>5.77</v>
      </c>
      <c r="E196" s="2">
        <v>5.78</v>
      </c>
      <c r="F196" s="2">
        <v>5.43</v>
      </c>
      <c r="G196" s="2">
        <v>5.62</v>
      </c>
      <c r="H196" s="17">
        <v>145496</v>
      </c>
      <c r="I196" s="11">
        <v>637.41999999999996</v>
      </c>
      <c r="J196" s="14">
        <v>113419775</v>
      </c>
      <c r="K196">
        <f t="shared" si="18"/>
        <v>45750</v>
      </c>
      <c r="L196" s="20">
        <f t="shared" ref="L196:L254" si="23">((G196/$G$2-1))</f>
        <v>0.30697674418604648</v>
      </c>
      <c r="M196" s="24">
        <f t="shared" si="19"/>
        <v>232.55813953488374</v>
      </c>
      <c r="N196" s="11">
        <f t="shared" si="20"/>
        <v>1306.9767441860465</v>
      </c>
      <c r="O196" s="20">
        <f t="shared" si="21"/>
        <v>0.30697674418604654</v>
      </c>
      <c r="P196" s="2">
        <f t="shared" si="22"/>
        <v>0.35000000000000053</v>
      </c>
    </row>
    <row r="197" spans="1:16" ht="15" customHeight="1" x14ac:dyDescent="0.15">
      <c r="A197" s="7" t="s">
        <v>10</v>
      </c>
      <c r="B197" s="7" t="s">
        <v>11</v>
      </c>
      <c r="C197" s="8" t="s">
        <v>69</v>
      </c>
      <c r="D197" s="2">
        <v>5.45</v>
      </c>
      <c r="E197" s="2">
        <v>5.6349999999999998</v>
      </c>
      <c r="F197" s="2">
        <v>5.43</v>
      </c>
      <c r="G197" s="2">
        <v>5.59</v>
      </c>
      <c r="H197" s="17">
        <v>125181</v>
      </c>
      <c r="I197" s="11">
        <v>634.02</v>
      </c>
      <c r="J197" s="14">
        <v>113419775</v>
      </c>
      <c r="K197">
        <f t="shared" si="18"/>
        <v>45751</v>
      </c>
      <c r="L197" s="20">
        <f t="shared" si="23"/>
        <v>0.30000000000000004</v>
      </c>
      <c r="M197" s="24">
        <f t="shared" si="19"/>
        <v>232.55813953488374</v>
      </c>
      <c r="N197" s="11">
        <f t="shared" si="20"/>
        <v>1300</v>
      </c>
      <c r="O197" s="20">
        <f t="shared" si="21"/>
        <v>0.3</v>
      </c>
      <c r="P197" s="2">
        <f t="shared" si="22"/>
        <v>0.20500000000000007</v>
      </c>
    </row>
    <row r="198" spans="1:16" ht="15" customHeight="1" x14ac:dyDescent="0.15">
      <c r="A198" s="7" t="s">
        <v>10</v>
      </c>
      <c r="B198" s="7" t="s">
        <v>11</v>
      </c>
      <c r="C198" s="8" t="s">
        <v>68</v>
      </c>
      <c r="D198" s="2">
        <v>5.29</v>
      </c>
      <c r="E198" s="2">
        <v>5.29</v>
      </c>
      <c r="F198" s="2">
        <v>4.6900000000000004</v>
      </c>
      <c r="G198" s="2">
        <v>5.15</v>
      </c>
      <c r="H198" s="17">
        <v>363066</v>
      </c>
      <c r="I198" s="11">
        <v>584.11</v>
      </c>
      <c r="J198" s="14">
        <v>113419775</v>
      </c>
      <c r="K198">
        <f t="shared" si="18"/>
        <v>45754</v>
      </c>
      <c r="L198" s="20">
        <f t="shared" si="23"/>
        <v>0.19767441860465129</v>
      </c>
      <c r="M198" s="24">
        <f t="shared" si="19"/>
        <v>232.55813953488374</v>
      </c>
      <c r="N198" s="11">
        <f t="shared" si="20"/>
        <v>1197.6744186046512</v>
      </c>
      <c r="O198" s="20">
        <f t="shared" si="21"/>
        <v>0.19767441860465124</v>
      </c>
      <c r="P198" s="2">
        <f t="shared" si="22"/>
        <v>0.59999999999999964</v>
      </c>
    </row>
    <row r="199" spans="1:16" ht="15" customHeight="1" x14ac:dyDescent="0.15">
      <c r="A199" s="7" t="s">
        <v>10</v>
      </c>
      <c r="B199" s="7" t="s">
        <v>11</v>
      </c>
      <c r="C199" s="8" t="s">
        <v>67</v>
      </c>
      <c r="D199" s="2">
        <v>5.0999999999999996</v>
      </c>
      <c r="E199" s="2">
        <v>5.1100000000000003</v>
      </c>
      <c r="F199" s="2">
        <v>4.87</v>
      </c>
      <c r="G199" s="2">
        <v>5.1100000000000003</v>
      </c>
      <c r="H199" s="17">
        <v>250518</v>
      </c>
      <c r="I199" s="11">
        <v>579.58000000000004</v>
      </c>
      <c r="J199" s="14">
        <v>113419775</v>
      </c>
      <c r="K199">
        <f t="shared" si="18"/>
        <v>45755</v>
      </c>
      <c r="L199" s="20">
        <f t="shared" si="23"/>
        <v>0.18837209302325597</v>
      </c>
      <c r="M199" s="24">
        <f t="shared" si="19"/>
        <v>232.55813953488374</v>
      </c>
      <c r="N199" s="11">
        <f t="shared" si="20"/>
        <v>1188.372093023256</v>
      </c>
      <c r="O199" s="20">
        <f t="shared" si="21"/>
        <v>0.18837209302325594</v>
      </c>
      <c r="P199" s="2">
        <f t="shared" si="22"/>
        <v>0.24000000000000021</v>
      </c>
    </row>
    <row r="200" spans="1:16" ht="15" customHeight="1" x14ac:dyDescent="0.15">
      <c r="A200" s="7" t="s">
        <v>10</v>
      </c>
      <c r="B200" s="7" t="s">
        <v>11</v>
      </c>
      <c r="C200" s="8" t="s">
        <v>66</v>
      </c>
      <c r="D200" s="2">
        <v>5.0199999999999996</v>
      </c>
      <c r="E200" s="2">
        <v>5.0599999999999996</v>
      </c>
      <c r="F200" s="2">
        <v>4.7300000000000004</v>
      </c>
      <c r="G200" s="2">
        <v>4.9800000000000004</v>
      </c>
      <c r="H200" s="17">
        <v>222211</v>
      </c>
      <c r="I200" s="11">
        <v>564.83000000000004</v>
      </c>
      <c r="J200" s="14">
        <v>113419775</v>
      </c>
      <c r="K200">
        <f t="shared" si="18"/>
        <v>45756</v>
      </c>
      <c r="L200" s="20">
        <f t="shared" si="23"/>
        <v>0.15813953488372112</v>
      </c>
      <c r="M200" s="24">
        <f t="shared" si="19"/>
        <v>232.55813953488374</v>
      </c>
      <c r="N200" s="11">
        <f t="shared" si="20"/>
        <v>1158.1395348837211</v>
      </c>
      <c r="O200" s="20">
        <f t="shared" si="21"/>
        <v>0.15813953488372112</v>
      </c>
      <c r="P200" s="2">
        <f t="shared" si="22"/>
        <v>0.32999999999999918</v>
      </c>
    </row>
    <row r="201" spans="1:16" ht="15" customHeight="1" x14ac:dyDescent="0.15">
      <c r="A201" s="7" t="s">
        <v>10</v>
      </c>
      <c r="B201" s="7" t="s">
        <v>11</v>
      </c>
      <c r="C201" s="8" t="s">
        <v>65</v>
      </c>
      <c r="D201" s="2">
        <v>5.2</v>
      </c>
      <c r="E201" s="2">
        <v>5.4</v>
      </c>
      <c r="F201" s="2">
        <v>5.2</v>
      </c>
      <c r="G201" s="2">
        <v>5.3</v>
      </c>
      <c r="H201" s="17">
        <v>186969</v>
      </c>
      <c r="I201" s="11">
        <v>601.12</v>
      </c>
      <c r="J201" s="14">
        <v>113419775</v>
      </c>
      <c r="K201">
        <f t="shared" si="18"/>
        <v>45757</v>
      </c>
      <c r="L201" s="20">
        <f t="shared" si="23"/>
        <v>0.23255813953488369</v>
      </c>
      <c r="M201" s="24">
        <f t="shared" si="19"/>
        <v>232.55813953488374</v>
      </c>
      <c r="N201" s="11">
        <f t="shared" si="20"/>
        <v>1232.5581395348838</v>
      </c>
      <c r="O201" s="20">
        <f t="shared" si="21"/>
        <v>0.23255813953488383</v>
      </c>
      <c r="P201" s="2">
        <f t="shared" si="22"/>
        <v>0.20000000000000018</v>
      </c>
    </row>
    <row r="202" spans="1:16" ht="15" customHeight="1" x14ac:dyDescent="0.15">
      <c r="A202" s="7" t="s">
        <v>10</v>
      </c>
      <c r="B202" s="7" t="s">
        <v>11</v>
      </c>
      <c r="C202" s="8" t="s">
        <v>64</v>
      </c>
      <c r="D202" s="2">
        <v>5.1100000000000003</v>
      </c>
      <c r="E202" s="2">
        <v>5.3</v>
      </c>
      <c r="F202" s="2">
        <v>5.1100000000000003</v>
      </c>
      <c r="G202" s="2">
        <v>5.27</v>
      </c>
      <c r="H202" s="17">
        <v>84904</v>
      </c>
      <c r="I202" s="11">
        <v>597.72</v>
      </c>
      <c r="J202" s="14">
        <v>113419775</v>
      </c>
      <c r="K202">
        <f t="shared" si="18"/>
        <v>45758</v>
      </c>
      <c r="L202" s="20">
        <f t="shared" si="23"/>
        <v>0.22558139534883725</v>
      </c>
      <c r="M202" s="24">
        <f t="shared" si="19"/>
        <v>232.55813953488374</v>
      </c>
      <c r="N202" s="11">
        <f t="shared" si="20"/>
        <v>1225.5813953488371</v>
      </c>
      <c r="O202" s="20">
        <f t="shared" si="21"/>
        <v>0.22558139534883709</v>
      </c>
      <c r="P202" s="2">
        <f t="shared" si="22"/>
        <v>0.1899999999999995</v>
      </c>
    </row>
    <row r="203" spans="1:16" ht="15" customHeight="1" x14ac:dyDescent="0.15">
      <c r="A203" s="7" t="s">
        <v>10</v>
      </c>
      <c r="B203" s="7" t="s">
        <v>11</v>
      </c>
      <c r="C203" s="8" t="s">
        <v>63</v>
      </c>
      <c r="D203" s="2">
        <v>5.27</v>
      </c>
      <c r="E203" s="2">
        <v>5.32</v>
      </c>
      <c r="F203" s="2">
        <v>5.14</v>
      </c>
      <c r="G203" s="2">
        <v>5.16</v>
      </c>
      <c r="H203" s="17">
        <v>66502</v>
      </c>
      <c r="I203" s="11">
        <v>585.25</v>
      </c>
      <c r="J203" s="14">
        <v>113419775</v>
      </c>
      <c r="K203">
        <f t="shared" si="18"/>
        <v>45761</v>
      </c>
      <c r="L203" s="20">
        <f t="shared" si="23"/>
        <v>0.20000000000000018</v>
      </c>
      <c r="M203" s="24">
        <f t="shared" si="19"/>
        <v>232.55813953488374</v>
      </c>
      <c r="N203" s="11">
        <f t="shared" si="20"/>
        <v>1200</v>
      </c>
      <c r="O203" s="20">
        <f t="shared" si="21"/>
        <v>0.2</v>
      </c>
      <c r="P203" s="2">
        <f t="shared" si="22"/>
        <v>0.1800000000000006</v>
      </c>
    </row>
    <row r="204" spans="1:16" ht="15" customHeight="1" x14ac:dyDescent="0.15">
      <c r="A204" s="7" t="s">
        <v>10</v>
      </c>
      <c r="B204" s="7" t="s">
        <v>11</v>
      </c>
      <c r="C204" s="8" t="s">
        <v>62</v>
      </c>
      <c r="D204" s="2">
        <v>5.25</v>
      </c>
      <c r="E204" s="2">
        <v>5.26</v>
      </c>
      <c r="F204" s="2">
        <v>5.01</v>
      </c>
      <c r="G204" s="2">
        <v>5.0599999999999996</v>
      </c>
      <c r="H204" s="17">
        <v>92165</v>
      </c>
      <c r="I204" s="11">
        <v>573.9</v>
      </c>
      <c r="J204" s="14">
        <v>113419775</v>
      </c>
      <c r="K204">
        <f t="shared" si="18"/>
        <v>45762</v>
      </c>
      <c r="L204" s="20">
        <f t="shared" si="23"/>
        <v>0.17674418604651154</v>
      </c>
      <c r="M204" s="24">
        <f t="shared" si="19"/>
        <v>232.55813953488374</v>
      </c>
      <c r="N204" s="11">
        <f t="shared" si="20"/>
        <v>1176.7441860465117</v>
      </c>
      <c r="O204" s="20">
        <f t="shared" si="21"/>
        <v>0.17674418604651168</v>
      </c>
      <c r="P204" s="2">
        <f t="shared" si="22"/>
        <v>0.25</v>
      </c>
    </row>
    <row r="205" spans="1:16" ht="15" customHeight="1" x14ac:dyDescent="0.15">
      <c r="A205" s="7" t="s">
        <v>10</v>
      </c>
      <c r="B205" s="7" t="s">
        <v>11</v>
      </c>
      <c r="C205" s="8" t="s">
        <v>61</v>
      </c>
      <c r="D205" s="2">
        <v>5</v>
      </c>
      <c r="E205" s="2">
        <v>5.0199999999999996</v>
      </c>
      <c r="F205" s="2">
        <v>4.87</v>
      </c>
      <c r="G205" s="2">
        <v>4.97</v>
      </c>
      <c r="H205" s="17">
        <v>145962</v>
      </c>
      <c r="I205" s="11">
        <v>563.70000000000005</v>
      </c>
      <c r="J205" s="14">
        <v>113419775</v>
      </c>
      <c r="K205">
        <f t="shared" si="18"/>
        <v>45763</v>
      </c>
      <c r="L205" s="20">
        <f t="shared" si="23"/>
        <v>0.15581395348837201</v>
      </c>
      <c r="M205" s="24">
        <f t="shared" si="19"/>
        <v>232.55813953488374</v>
      </c>
      <c r="N205" s="11">
        <f t="shared" si="20"/>
        <v>1155.8139534883721</v>
      </c>
      <c r="O205" s="20">
        <f t="shared" si="21"/>
        <v>0.15581395348837213</v>
      </c>
      <c r="P205" s="2">
        <f t="shared" si="22"/>
        <v>0.14999999999999947</v>
      </c>
    </row>
    <row r="206" spans="1:16" ht="15" customHeight="1" x14ac:dyDescent="0.15">
      <c r="A206" s="7" t="s">
        <v>10</v>
      </c>
      <c r="B206" s="7" t="s">
        <v>11</v>
      </c>
      <c r="C206" s="8" t="s">
        <v>60</v>
      </c>
      <c r="D206" s="2">
        <v>5.04</v>
      </c>
      <c r="E206" s="2">
        <v>5.0999999999999996</v>
      </c>
      <c r="F206" s="2">
        <v>4.95</v>
      </c>
      <c r="G206" s="2">
        <v>5.01</v>
      </c>
      <c r="H206" s="17">
        <v>70459</v>
      </c>
      <c r="I206" s="11">
        <v>568.23</v>
      </c>
      <c r="J206" s="14">
        <v>113419775</v>
      </c>
      <c r="K206">
        <f t="shared" si="18"/>
        <v>45764</v>
      </c>
      <c r="L206" s="20">
        <f t="shared" si="23"/>
        <v>0.16511627906976734</v>
      </c>
      <c r="M206" s="24">
        <f t="shared" si="19"/>
        <v>232.55813953488374</v>
      </c>
      <c r="N206" s="11">
        <f t="shared" si="20"/>
        <v>1165.1162790697674</v>
      </c>
      <c r="O206" s="20">
        <f t="shared" si="21"/>
        <v>0.16511627906976742</v>
      </c>
      <c r="P206" s="2">
        <f t="shared" si="22"/>
        <v>0.14999999999999947</v>
      </c>
    </row>
    <row r="207" spans="1:16" ht="15" customHeight="1" x14ac:dyDescent="0.15">
      <c r="A207" s="7" t="s">
        <v>10</v>
      </c>
      <c r="B207" s="7" t="s">
        <v>11</v>
      </c>
      <c r="C207" s="8" t="s">
        <v>59</v>
      </c>
      <c r="D207" s="2">
        <v>5</v>
      </c>
      <c r="E207" s="2">
        <v>5.01</v>
      </c>
      <c r="F207" s="2">
        <v>4.91</v>
      </c>
      <c r="G207" s="2">
        <v>5</v>
      </c>
      <c r="H207" s="17">
        <v>276230</v>
      </c>
      <c r="I207" s="11">
        <v>567.1</v>
      </c>
      <c r="J207" s="14">
        <v>113419775</v>
      </c>
      <c r="K207">
        <f t="shared" si="18"/>
        <v>45769</v>
      </c>
      <c r="L207" s="20">
        <f t="shared" si="23"/>
        <v>0.16279069767441867</v>
      </c>
      <c r="M207" s="24">
        <f t="shared" si="19"/>
        <v>232.55813953488374</v>
      </c>
      <c r="N207" s="11">
        <f t="shared" si="20"/>
        <v>1162.7906976744187</v>
      </c>
      <c r="O207" s="20">
        <f t="shared" si="21"/>
        <v>0.16279069767441864</v>
      </c>
      <c r="P207" s="2">
        <f t="shared" si="22"/>
        <v>9.9999999999999645E-2</v>
      </c>
    </row>
    <row r="208" spans="1:16" ht="15" customHeight="1" x14ac:dyDescent="0.15">
      <c r="A208" s="7" t="s">
        <v>10</v>
      </c>
      <c r="B208" s="7" t="s">
        <v>11</v>
      </c>
      <c r="C208" s="8" t="s">
        <v>58</v>
      </c>
      <c r="D208" s="2">
        <v>5.05</v>
      </c>
      <c r="E208" s="2">
        <v>5.3</v>
      </c>
      <c r="F208" s="2">
        <v>5.05</v>
      </c>
      <c r="G208" s="2">
        <v>5.25</v>
      </c>
      <c r="H208" s="17">
        <v>202585</v>
      </c>
      <c r="I208" s="11">
        <v>595.45000000000005</v>
      </c>
      <c r="J208" s="14">
        <v>113419775</v>
      </c>
      <c r="K208">
        <f t="shared" si="18"/>
        <v>45770</v>
      </c>
      <c r="L208" s="20">
        <f t="shared" si="23"/>
        <v>0.22093023255813948</v>
      </c>
      <c r="M208" s="24">
        <f t="shared" si="19"/>
        <v>232.55813953488374</v>
      </c>
      <c r="N208" s="11">
        <f t="shared" si="20"/>
        <v>1220.9302325581396</v>
      </c>
      <c r="O208" s="20">
        <f t="shared" si="21"/>
        <v>0.22093023255813954</v>
      </c>
      <c r="P208" s="2">
        <f t="shared" si="22"/>
        <v>0.25</v>
      </c>
    </row>
    <row r="209" spans="1:16" ht="15" customHeight="1" x14ac:dyDescent="0.15">
      <c r="A209" s="7" t="s">
        <v>10</v>
      </c>
      <c r="B209" s="7" t="s">
        <v>11</v>
      </c>
      <c r="C209" s="8" t="s">
        <v>57</v>
      </c>
      <c r="D209" s="2">
        <v>5.26</v>
      </c>
      <c r="E209" s="2">
        <v>5.3</v>
      </c>
      <c r="F209" s="2">
        <v>5.19</v>
      </c>
      <c r="G209" s="2">
        <v>5.25</v>
      </c>
      <c r="H209" s="17">
        <v>75796</v>
      </c>
      <c r="I209" s="11">
        <v>595.45000000000005</v>
      </c>
      <c r="J209" s="14">
        <v>113419775</v>
      </c>
      <c r="K209">
        <f t="shared" si="18"/>
        <v>45771</v>
      </c>
      <c r="L209" s="20">
        <f t="shared" si="23"/>
        <v>0.22093023255813948</v>
      </c>
      <c r="M209" s="24">
        <f t="shared" si="19"/>
        <v>232.55813953488374</v>
      </c>
      <c r="N209" s="11">
        <f t="shared" si="20"/>
        <v>1220.9302325581396</v>
      </c>
      <c r="O209" s="20">
        <f t="shared" si="21"/>
        <v>0.22093023255813954</v>
      </c>
      <c r="P209" s="2">
        <f t="shared" si="22"/>
        <v>0.10999999999999943</v>
      </c>
    </row>
    <row r="210" spans="1:16" ht="15" customHeight="1" x14ac:dyDescent="0.15">
      <c r="A210" s="7" t="s">
        <v>10</v>
      </c>
      <c r="B210" s="7" t="s">
        <v>11</v>
      </c>
      <c r="C210" s="8" t="s">
        <v>56</v>
      </c>
      <c r="D210" s="2">
        <v>5.25</v>
      </c>
      <c r="E210" s="2">
        <v>5.3</v>
      </c>
      <c r="F210" s="2">
        <v>5.13</v>
      </c>
      <c r="G210" s="2">
        <v>5.13</v>
      </c>
      <c r="H210" s="17">
        <v>133711</v>
      </c>
      <c r="I210" s="11">
        <v>581.84</v>
      </c>
      <c r="J210" s="14">
        <v>113419775</v>
      </c>
      <c r="K210">
        <f t="shared" si="18"/>
        <v>45775</v>
      </c>
      <c r="L210" s="20">
        <f t="shared" si="23"/>
        <v>0.19302325581395352</v>
      </c>
      <c r="M210" s="24">
        <f t="shared" si="19"/>
        <v>232.55813953488374</v>
      </c>
      <c r="N210" s="11">
        <f t="shared" si="20"/>
        <v>1193.0232558139535</v>
      </c>
      <c r="O210" s="20">
        <f t="shared" si="21"/>
        <v>0.19302325581395349</v>
      </c>
      <c r="P210" s="2">
        <f t="shared" si="22"/>
        <v>0.16999999999999993</v>
      </c>
    </row>
    <row r="211" spans="1:16" ht="15" customHeight="1" x14ac:dyDescent="0.15">
      <c r="A211" s="7" t="s">
        <v>10</v>
      </c>
      <c r="B211" s="7" t="s">
        <v>11</v>
      </c>
      <c r="C211" s="8" t="s">
        <v>55</v>
      </c>
      <c r="D211" s="2">
        <v>5.14</v>
      </c>
      <c r="E211" s="2">
        <v>5.46</v>
      </c>
      <c r="F211" s="2">
        <v>5.12</v>
      </c>
      <c r="G211" s="2">
        <v>5.28</v>
      </c>
      <c r="H211" s="17">
        <v>253057</v>
      </c>
      <c r="I211" s="11">
        <v>598.86</v>
      </c>
      <c r="J211" s="14">
        <v>113419775</v>
      </c>
      <c r="K211">
        <f t="shared" si="18"/>
        <v>45776</v>
      </c>
      <c r="L211" s="20">
        <f t="shared" si="23"/>
        <v>0.22790697674418614</v>
      </c>
      <c r="M211" s="24">
        <f t="shared" si="19"/>
        <v>232.55813953488374</v>
      </c>
      <c r="N211" s="11">
        <f t="shared" si="20"/>
        <v>1227.9069767441863</v>
      </c>
      <c r="O211" s="20">
        <f t="shared" si="21"/>
        <v>0.22790697674418631</v>
      </c>
      <c r="P211" s="2">
        <f t="shared" si="22"/>
        <v>0.33999999999999986</v>
      </c>
    </row>
    <row r="212" spans="1:16" ht="15" customHeight="1" x14ac:dyDescent="0.15">
      <c r="A212" s="7" t="s">
        <v>10</v>
      </c>
      <c r="B212" s="7" t="s">
        <v>11</v>
      </c>
      <c r="C212" s="8" t="s">
        <v>54</v>
      </c>
      <c r="D212" s="2">
        <v>5.28</v>
      </c>
      <c r="E212" s="2">
        <v>5.28</v>
      </c>
      <c r="F212" s="2">
        <v>5.12</v>
      </c>
      <c r="G212" s="2">
        <v>5.2</v>
      </c>
      <c r="H212" s="17">
        <v>202427</v>
      </c>
      <c r="I212" s="11">
        <v>589.78</v>
      </c>
      <c r="J212" s="14">
        <v>113419775</v>
      </c>
      <c r="K212">
        <f t="shared" si="18"/>
        <v>45777</v>
      </c>
      <c r="L212" s="20">
        <f t="shared" si="23"/>
        <v>0.2093023255813955</v>
      </c>
      <c r="M212" s="24">
        <f t="shared" si="19"/>
        <v>232.55813953488374</v>
      </c>
      <c r="N212" s="11">
        <f t="shared" si="20"/>
        <v>1209.3023255813955</v>
      </c>
      <c r="O212" s="20">
        <f t="shared" si="21"/>
        <v>0.2093023255813955</v>
      </c>
      <c r="P212" s="2">
        <f t="shared" si="22"/>
        <v>0.16000000000000014</v>
      </c>
    </row>
    <row r="213" spans="1:16" ht="15" customHeight="1" x14ac:dyDescent="0.15">
      <c r="A213" s="7" t="s">
        <v>10</v>
      </c>
      <c r="B213" s="7" t="s">
        <v>11</v>
      </c>
      <c r="C213" s="8" t="s">
        <v>53</v>
      </c>
      <c r="D213" s="2">
        <v>5.19</v>
      </c>
      <c r="E213" s="2">
        <v>5.32</v>
      </c>
      <c r="F213" s="2">
        <v>5.165</v>
      </c>
      <c r="G213" s="2">
        <v>5.26</v>
      </c>
      <c r="H213" s="17">
        <v>264244</v>
      </c>
      <c r="I213" s="11">
        <v>596.59</v>
      </c>
      <c r="J213" s="14">
        <v>113419775</v>
      </c>
      <c r="K213">
        <f t="shared" si="18"/>
        <v>45778</v>
      </c>
      <c r="L213" s="20">
        <f t="shared" si="23"/>
        <v>0.22325581395348837</v>
      </c>
      <c r="M213" s="24">
        <f t="shared" si="19"/>
        <v>232.55813953488374</v>
      </c>
      <c r="N213" s="11">
        <f t="shared" si="20"/>
        <v>1223.2558139534883</v>
      </c>
      <c r="O213" s="20">
        <f t="shared" si="21"/>
        <v>0.22325581395348831</v>
      </c>
      <c r="P213" s="2">
        <f t="shared" si="22"/>
        <v>0.15500000000000025</v>
      </c>
    </row>
    <row r="214" spans="1:16" ht="15" customHeight="1" x14ac:dyDescent="0.15">
      <c r="A214" s="7" t="s">
        <v>10</v>
      </c>
      <c r="B214" s="7" t="s">
        <v>11</v>
      </c>
      <c r="C214" s="8" t="s">
        <v>52</v>
      </c>
      <c r="D214" s="2">
        <v>5.13</v>
      </c>
      <c r="E214" s="2">
        <v>5.34</v>
      </c>
      <c r="F214" s="2">
        <v>5.13</v>
      </c>
      <c r="G214" s="2">
        <v>5.3</v>
      </c>
      <c r="H214" s="17">
        <v>86402</v>
      </c>
      <c r="I214" s="11">
        <v>601.12</v>
      </c>
      <c r="J214" s="14">
        <v>113419775</v>
      </c>
      <c r="K214">
        <f t="shared" si="18"/>
        <v>45779</v>
      </c>
      <c r="L214" s="20">
        <f t="shared" si="23"/>
        <v>0.23255813953488369</v>
      </c>
      <c r="M214" s="24">
        <f t="shared" si="19"/>
        <v>232.55813953488374</v>
      </c>
      <c r="N214" s="11">
        <f t="shared" si="20"/>
        <v>1232.5581395348838</v>
      </c>
      <c r="O214" s="20">
        <f t="shared" si="21"/>
        <v>0.23255813953488383</v>
      </c>
      <c r="P214" s="2">
        <f t="shared" si="22"/>
        <v>0.20999999999999996</v>
      </c>
    </row>
    <row r="215" spans="1:16" ht="15" customHeight="1" x14ac:dyDescent="0.15">
      <c r="A215" s="7" t="s">
        <v>10</v>
      </c>
      <c r="B215" s="7" t="s">
        <v>11</v>
      </c>
      <c r="C215" s="8" t="s">
        <v>51</v>
      </c>
      <c r="D215" s="2">
        <v>5.28</v>
      </c>
      <c r="E215" s="2">
        <v>5.33</v>
      </c>
      <c r="F215" s="2">
        <v>5.1449999999999996</v>
      </c>
      <c r="G215" s="2">
        <v>5.16</v>
      </c>
      <c r="H215" s="17">
        <v>69226</v>
      </c>
      <c r="I215" s="11">
        <v>585.25</v>
      </c>
      <c r="J215" s="14">
        <v>113419775</v>
      </c>
      <c r="K215">
        <f t="shared" si="18"/>
        <v>45782</v>
      </c>
      <c r="L215" s="20">
        <f t="shared" si="23"/>
        <v>0.20000000000000018</v>
      </c>
      <c r="M215" s="24">
        <f t="shared" si="19"/>
        <v>232.55813953488374</v>
      </c>
      <c r="N215" s="11">
        <f t="shared" si="20"/>
        <v>1200</v>
      </c>
      <c r="O215" s="20">
        <f t="shared" si="21"/>
        <v>0.2</v>
      </c>
      <c r="P215" s="2">
        <f t="shared" si="22"/>
        <v>0.1850000000000005</v>
      </c>
    </row>
    <row r="216" spans="1:16" ht="15" customHeight="1" x14ac:dyDescent="0.15">
      <c r="A216" s="7" t="s">
        <v>10</v>
      </c>
      <c r="B216" s="7" t="s">
        <v>11</v>
      </c>
      <c r="C216" s="8" t="s">
        <v>50</v>
      </c>
      <c r="D216" s="2">
        <v>5.14</v>
      </c>
      <c r="E216" s="2">
        <v>5.26</v>
      </c>
      <c r="F216" s="2">
        <v>5.0999999999999996</v>
      </c>
      <c r="G216" s="2">
        <v>5.23</v>
      </c>
      <c r="H216" s="17">
        <v>48091</v>
      </c>
      <c r="I216" s="11">
        <v>593.19000000000005</v>
      </c>
      <c r="J216" s="14">
        <v>113419775</v>
      </c>
      <c r="K216">
        <f t="shared" si="18"/>
        <v>45783</v>
      </c>
      <c r="L216" s="20">
        <f t="shared" si="23"/>
        <v>0.21627906976744193</v>
      </c>
      <c r="M216" s="24">
        <f t="shared" si="19"/>
        <v>232.55813953488374</v>
      </c>
      <c r="N216" s="11">
        <f t="shared" si="20"/>
        <v>1216.279069767442</v>
      </c>
      <c r="O216" s="20">
        <f t="shared" si="21"/>
        <v>0.21627906976744202</v>
      </c>
      <c r="P216" s="2">
        <f t="shared" si="22"/>
        <v>0.16000000000000014</v>
      </c>
    </row>
    <row r="217" spans="1:16" ht="15" customHeight="1" x14ac:dyDescent="0.15">
      <c r="A217" s="7" t="s">
        <v>10</v>
      </c>
      <c r="B217" s="7" t="s">
        <v>11</v>
      </c>
      <c r="C217" s="8" t="s">
        <v>49</v>
      </c>
      <c r="D217" s="2">
        <v>5.1100000000000003</v>
      </c>
      <c r="E217" s="2">
        <v>5.53</v>
      </c>
      <c r="F217" s="2">
        <v>5.1100000000000003</v>
      </c>
      <c r="G217" s="2">
        <v>5.51</v>
      </c>
      <c r="H217" s="17">
        <v>168848</v>
      </c>
      <c r="I217" s="11">
        <v>624.94000000000005</v>
      </c>
      <c r="J217" s="14">
        <v>113419775</v>
      </c>
      <c r="K217">
        <f t="shared" si="18"/>
        <v>45784</v>
      </c>
      <c r="L217" s="20">
        <f t="shared" si="23"/>
        <v>0.2813953488372094</v>
      </c>
      <c r="M217" s="24">
        <f t="shared" si="19"/>
        <v>232.55813953488374</v>
      </c>
      <c r="N217" s="11">
        <f t="shared" si="20"/>
        <v>1281.3953488372094</v>
      </c>
      <c r="O217" s="20">
        <f t="shared" si="21"/>
        <v>0.28139534883720946</v>
      </c>
      <c r="P217" s="2">
        <f t="shared" si="22"/>
        <v>0.41999999999999993</v>
      </c>
    </row>
    <row r="218" spans="1:16" ht="15" customHeight="1" x14ac:dyDescent="0.15">
      <c r="A218" s="7" t="s">
        <v>10</v>
      </c>
      <c r="B218" s="7" t="s">
        <v>11</v>
      </c>
      <c r="C218" s="8" t="s">
        <v>48</v>
      </c>
      <c r="D218" s="2">
        <v>5.51</v>
      </c>
      <c r="E218" s="2">
        <v>5.55</v>
      </c>
      <c r="F218" s="2">
        <v>5.38</v>
      </c>
      <c r="G218" s="2">
        <v>5.52</v>
      </c>
      <c r="H218" s="17">
        <v>110643</v>
      </c>
      <c r="I218" s="11">
        <v>626.08000000000004</v>
      </c>
      <c r="J218" s="14">
        <v>113419775</v>
      </c>
      <c r="K218">
        <f t="shared" si="18"/>
        <v>45785</v>
      </c>
      <c r="L218" s="20">
        <f t="shared" si="23"/>
        <v>0.28372093023255807</v>
      </c>
      <c r="M218" s="24">
        <f t="shared" si="19"/>
        <v>232.55813953488374</v>
      </c>
      <c r="N218" s="11">
        <f t="shared" si="20"/>
        <v>1283.7209302325582</v>
      </c>
      <c r="O218" s="20">
        <f t="shared" si="21"/>
        <v>0.28372093023255818</v>
      </c>
      <c r="P218" s="2">
        <f t="shared" si="22"/>
        <v>0.16999999999999993</v>
      </c>
    </row>
    <row r="219" spans="1:16" ht="15" customHeight="1" x14ac:dyDescent="0.15">
      <c r="A219" s="7" t="s">
        <v>10</v>
      </c>
      <c r="B219" s="7" t="s">
        <v>11</v>
      </c>
      <c r="C219" s="8" t="s">
        <v>47</v>
      </c>
      <c r="D219" s="2">
        <v>5.51</v>
      </c>
      <c r="E219" s="2">
        <v>5.72</v>
      </c>
      <c r="F219" s="2">
        <v>5.51</v>
      </c>
      <c r="G219" s="2">
        <v>5.68</v>
      </c>
      <c r="H219" s="17">
        <v>208561</v>
      </c>
      <c r="I219" s="11">
        <v>644.22</v>
      </c>
      <c r="J219" s="14">
        <v>113419775</v>
      </c>
      <c r="K219">
        <f t="shared" si="18"/>
        <v>45786</v>
      </c>
      <c r="L219" s="20">
        <f t="shared" si="23"/>
        <v>0.32093023255813957</v>
      </c>
      <c r="M219" s="24">
        <f t="shared" si="19"/>
        <v>232.55813953488374</v>
      </c>
      <c r="N219" s="11">
        <f t="shared" si="20"/>
        <v>1320.9302325581396</v>
      </c>
      <c r="O219" s="20">
        <f t="shared" si="21"/>
        <v>0.32093023255813957</v>
      </c>
      <c r="P219" s="2">
        <f t="shared" si="22"/>
        <v>0.20999999999999996</v>
      </c>
    </row>
    <row r="220" spans="1:16" ht="15" customHeight="1" x14ac:dyDescent="0.15">
      <c r="A220" s="7" t="s">
        <v>10</v>
      </c>
      <c r="B220" s="7" t="s">
        <v>11</v>
      </c>
      <c r="C220" s="8" t="s">
        <v>46</v>
      </c>
      <c r="D220" s="2">
        <v>5.63</v>
      </c>
      <c r="E220" s="2">
        <v>5.89</v>
      </c>
      <c r="F220" s="2">
        <v>5.63</v>
      </c>
      <c r="G220" s="2">
        <v>5.87</v>
      </c>
      <c r="H220" s="17">
        <v>236009</v>
      </c>
      <c r="I220" s="11">
        <v>665.77</v>
      </c>
      <c r="J220" s="14">
        <v>113419775</v>
      </c>
      <c r="K220">
        <f t="shared" si="18"/>
        <v>45789</v>
      </c>
      <c r="L220" s="20">
        <f t="shared" si="23"/>
        <v>0.36511627906976751</v>
      </c>
      <c r="M220" s="24">
        <f t="shared" si="19"/>
        <v>232.55813953488374</v>
      </c>
      <c r="N220" s="11">
        <f t="shared" si="20"/>
        <v>1365.1162790697676</v>
      </c>
      <c r="O220" s="20">
        <f t="shared" si="21"/>
        <v>0.36511627906976762</v>
      </c>
      <c r="P220" s="2">
        <f t="shared" si="22"/>
        <v>0.25999999999999979</v>
      </c>
    </row>
    <row r="221" spans="1:16" ht="15" customHeight="1" x14ac:dyDescent="0.15">
      <c r="A221" s="7" t="s">
        <v>10</v>
      </c>
      <c r="B221" s="7" t="s">
        <v>11</v>
      </c>
      <c r="C221" s="8" t="s">
        <v>45</v>
      </c>
      <c r="D221" s="2">
        <v>5.88</v>
      </c>
      <c r="E221" s="2">
        <v>6.1849999999999996</v>
      </c>
      <c r="F221" s="2">
        <v>5.8650000000000002</v>
      </c>
      <c r="G221" s="2">
        <v>6.04</v>
      </c>
      <c r="H221" s="17">
        <v>165342</v>
      </c>
      <c r="I221" s="11">
        <v>685.06</v>
      </c>
      <c r="J221" s="14">
        <v>113419775</v>
      </c>
      <c r="K221">
        <f t="shared" si="18"/>
        <v>45790</v>
      </c>
      <c r="L221" s="20">
        <f t="shared" si="23"/>
        <v>0.40465116279069768</v>
      </c>
      <c r="M221" s="24">
        <f t="shared" si="19"/>
        <v>232.55813953488374</v>
      </c>
      <c r="N221" s="11">
        <f t="shared" si="20"/>
        <v>1404.6511627906978</v>
      </c>
      <c r="O221" s="20">
        <f t="shared" si="21"/>
        <v>0.40465116279069774</v>
      </c>
      <c r="P221" s="2">
        <f t="shared" si="22"/>
        <v>0.3199999999999994</v>
      </c>
    </row>
    <row r="222" spans="1:16" ht="15" customHeight="1" x14ac:dyDescent="0.15">
      <c r="A222" s="7" t="s">
        <v>10</v>
      </c>
      <c r="B222" s="7" t="s">
        <v>11</v>
      </c>
      <c r="C222" s="8" t="s">
        <v>44</v>
      </c>
      <c r="D222" s="2">
        <v>6.04</v>
      </c>
      <c r="E222" s="2">
        <v>6.26</v>
      </c>
      <c r="F222" s="2">
        <v>6.04</v>
      </c>
      <c r="G222" s="2">
        <v>6.15</v>
      </c>
      <c r="H222" s="17">
        <v>241557</v>
      </c>
      <c r="I222" s="11">
        <v>697.53</v>
      </c>
      <c r="J222" s="14">
        <v>113419775</v>
      </c>
      <c r="K222">
        <f t="shared" si="18"/>
        <v>45791</v>
      </c>
      <c r="L222" s="20">
        <f t="shared" si="23"/>
        <v>0.43023255813953498</v>
      </c>
      <c r="M222" s="24">
        <f t="shared" si="19"/>
        <v>232.55813953488374</v>
      </c>
      <c r="N222" s="11">
        <f t="shared" si="20"/>
        <v>1430.2325581395351</v>
      </c>
      <c r="O222" s="20">
        <f t="shared" si="21"/>
        <v>0.43023255813953504</v>
      </c>
      <c r="P222" s="2">
        <f t="shared" si="22"/>
        <v>0.21999999999999975</v>
      </c>
    </row>
    <row r="223" spans="1:16" ht="15" customHeight="1" x14ac:dyDescent="0.15">
      <c r="A223" s="7" t="s">
        <v>10</v>
      </c>
      <c r="B223" s="7" t="s">
        <v>11</v>
      </c>
      <c r="C223" s="8" t="s">
        <v>43</v>
      </c>
      <c r="D223" s="2">
        <v>6.1</v>
      </c>
      <c r="E223" s="2">
        <v>6.25</v>
      </c>
      <c r="F223" s="2">
        <v>6.09</v>
      </c>
      <c r="G223" s="2">
        <v>6.21</v>
      </c>
      <c r="H223" s="17">
        <v>122350</v>
      </c>
      <c r="I223" s="11">
        <v>704.34</v>
      </c>
      <c r="J223" s="14">
        <v>113419775</v>
      </c>
      <c r="K223">
        <f t="shared" si="18"/>
        <v>45792</v>
      </c>
      <c r="L223" s="20">
        <f t="shared" si="23"/>
        <v>0.44418604651162785</v>
      </c>
      <c r="M223" s="24">
        <f t="shared" si="19"/>
        <v>232.55813953488374</v>
      </c>
      <c r="N223" s="11">
        <f t="shared" si="20"/>
        <v>1444.1860465116281</v>
      </c>
      <c r="O223" s="20">
        <f t="shared" si="21"/>
        <v>0.44418604651162807</v>
      </c>
      <c r="P223" s="2">
        <f t="shared" si="22"/>
        <v>0.16000000000000014</v>
      </c>
    </row>
    <row r="224" spans="1:16" ht="15" customHeight="1" x14ac:dyDescent="0.15">
      <c r="A224" s="7" t="s">
        <v>10</v>
      </c>
      <c r="B224" s="7" t="s">
        <v>11</v>
      </c>
      <c r="C224" s="8" t="s">
        <v>42</v>
      </c>
      <c r="D224" s="2">
        <v>6.2</v>
      </c>
      <c r="E224" s="2">
        <v>6.21</v>
      </c>
      <c r="F224" s="2">
        <v>5.94</v>
      </c>
      <c r="G224" s="2">
        <v>6.05</v>
      </c>
      <c r="H224" s="17">
        <v>139398</v>
      </c>
      <c r="I224" s="11">
        <v>686.19</v>
      </c>
      <c r="J224" s="14">
        <v>113419775</v>
      </c>
      <c r="K224">
        <f t="shared" si="18"/>
        <v>45793</v>
      </c>
      <c r="L224" s="20">
        <f t="shared" si="23"/>
        <v>0.40697674418604657</v>
      </c>
      <c r="M224" s="24">
        <f t="shared" si="19"/>
        <v>232.55813953488374</v>
      </c>
      <c r="N224" s="11">
        <f t="shared" si="20"/>
        <v>1406.9767441860465</v>
      </c>
      <c r="O224" s="20">
        <f t="shared" si="21"/>
        <v>0.40697674418604651</v>
      </c>
      <c r="P224" s="2">
        <f t="shared" si="22"/>
        <v>0.26999999999999957</v>
      </c>
    </row>
    <row r="225" spans="1:16" ht="15" customHeight="1" x14ac:dyDescent="0.15">
      <c r="A225" s="7" t="s">
        <v>10</v>
      </c>
      <c r="B225" s="7" t="s">
        <v>11</v>
      </c>
      <c r="C225" s="8" t="s">
        <v>41</v>
      </c>
      <c r="D225" s="2">
        <v>6.07</v>
      </c>
      <c r="E225" s="2">
        <v>6.1</v>
      </c>
      <c r="F225" s="2">
        <v>5.7</v>
      </c>
      <c r="G225" s="2">
        <v>5.9</v>
      </c>
      <c r="H225" s="17">
        <v>135107</v>
      </c>
      <c r="I225" s="11">
        <v>669.18</v>
      </c>
      <c r="J225" s="14">
        <v>113419775</v>
      </c>
      <c r="K225">
        <f t="shared" si="18"/>
        <v>45796</v>
      </c>
      <c r="L225" s="20">
        <f t="shared" si="23"/>
        <v>0.37209302325581417</v>
      </c>
      <c r="M225" s="24">
        <f t="shared" si="19"/>
        <v>232.55813953488374</v>
      </c>
      <c r="N225" s="11">
        <f t="shared" si="20"/>
        <v>1372.0930232558142</v>
      </c>
      <c r="O225" s="20">
        <f t="shared" si="21"/>
        <v>0.37209302325581417</v>
      </c>
      <c r="P225" s="2">
        <f t="shared" si="22"/>
        <v>0.39999999999999947</v>
      </c>
    </row>
    <row r="226" spans="1:16" ht="15" customHeight="1" x14ac:dyDescent="0.15">
      <c r="A226" s="7" t="s">
        <v>10</v>
      </c>
      <c r="B226" s="7" t="s">
        <v>11</v>
      </c>
      <c r="C226" s="8" t="s">
        <v>40</v>
      </c>
      <c r="D226" s="2">
        <v>5.9</v>
      </c>
      <c r="E226" s="2">
        <v>6.09</v>
      </c>
      <c r="F226" s="2">
        <v>5.78</v>
      </c>
      <c r="G226" s="2">
        <v>6</v>
      </c>
      <c r="H226" s="17">
        <v>123709</v>
      </c>
      <c r="I226" s="11">
        <v>680.52</v>
      </c>
      <c r="J226" s="14">
        <v>113419775</v>
      </c>
      <c r="K226">
        <f t="shared" si="18"/>
        <v>45797</v>
      </c>
      <c r="L226" s="20">
        <f t="shared" si="23"/>
        <v>0.39534883720930236</v>
      </c>
      <c r="M226" s="24">
        <f t="shared" si="19"/>
        <v>232.55813953488374</v>
      </c>
      <c r="N226" s="11">
        <f t="shared" si="20"/>
        <v>1395.3488372093025</v>
      </c>
      <c r="O226" s="20">
        <f t="shared" si="21"/>
        <v>0.39534883720930247</v>
      </c>
      <c r="P226" s="2">
        <f t="shared" si="22"/>
        <v>0.30999999999999961</v>
      </c>
    </row>
    <row r="227" spans="1:16" ht="15" customHeight="1" x14ac:dyDescent="0.15">
      <c r="A227" s="7" t="s">
        <v>10</v>
      </c>
      <c r="B227" s="7" t="s">
        <v>11</v>
      </c>
      <c r="C227" s="8" t="s">
        <v>39</v>
      </c>
      <c r="D227" s="2">
        <v>6</v>
      </c>
      <c r="E227" s="2">
        <v>6.08</v>
      </c>
      <c r="F227" s="2">
        <v>5.94</v>
      </c>
      <c r="G227" s="2">
        <v>6.04</v>
      </c>
      <c r="H227" s="17">
        <v>121654</v>
      </c>
      <c r="I227" s="11">
        <v>685.06</v>
      </c>
      <c r="J227" s="14">
        <v>113419775</v>
      </c>
      <c r="K227">
        <f t="shared" si="18"/>
        <v>45798</v>
      </c>
      <c r="L227" s="20">
        <f t="shared" si="23"/>
        <v>0.40465116279069768</v>
      </c>
      <c r="M227" s="24">
        <f t="shared" si="19"/>
        <v>232.55813953488374</v>
      </c>
      <c r="N227" s="11">
        <f t="shared" si="20"/>
        <v>1404.6511627906978</v>
      </c>
      <c r="O227" s="20">
        <f t="shared" si="21"/>
        <v>0.40465116279069774</v>
      </c>
      <c r="P227" s="2">
        <f t="shared" si="22"/>
        <v>0.13999999999999968</v>
      </c>
    </row>
    <row r="228" spans="1:16" ht="15" customHeight="1" x14ac:dyDescent="0.15">
      <c r="A228" s="7" t="s">
        <v>10</v>
      </c>
      <c r="B228" s="7" t="s">
        <v>11</v>
      </c>
      <c r="C228" s="8" t="s">
        <v>38</v>
      </c>
      <c r="D228" s="2">
        <v>5.97</v>
      </c>
      <c r="E228" s="2">
        <v>6.04</v>
      </c>
      <c r="F228" s="2">
        <v>5.91</v>
      </c>
      <c r="G228" s="2">
        <v>6.03</v>
      </c>
      <c r="H228" s="17">
        <v>142058</v>
      </c>
      <c r="I228" s="11">
        <v>683.92</v>
      </c>
      <c r="J228" s="14">
        <v>113419775</v>
      </c>
      <c r="K228">
        <f t="shared" si="18"/>
        <v>45799</v>
      </c>
      <c r="L228" s="20">
        <f t="shared" si="23"/>
        <v>0.40232558139534902</v>
      </c>
      <c r="M228" s="24">
        <f t="shared" si="19"/>
        <v>232.55813953488374</v>
      </c>
      <c r="N228" s="11">
        <f t="shared" si="20"/>
        <v>1402.325581395349</v>
      </c>
      <c r="O228" s="20">
        <f t="shared" si="21"/>
        <v>0.40232558139534896</v>
      </c>
      <c r="P228" s="2">
        <f t="shared" si="22"/>
        <v>0.12999999999999989</v>
      </c>
    </row>
    <row r="229" spans="1:16" ht="15" customHeight="1" x14ac:dyDescent="0.15">
      <c r="A229" s="7" t="s">
        <v>10</v>
      </c>
      <c r="B229" s="7" t="s">
        <v>11</v>
      </c>
      <c r="C229" s="8" t="s">
        <v>37</v>
      </c>
      <c r="D229" s="2">
        <v>6</v>
      </c>
      <c r="E229" s="2">
        <v>6</v>
      </c>
      <c r="F229" s="2">
        <v>5.78</v>
      </c>
      <c r="G229" s="2">
        <v>5.85</v>
      </c>
      <c r="H229" s="17">
        <v>134923</v>
      </c>
      <c r="I229" s="11">
        <v>663.51</v>
      </c>
      <c r="J229" s="14">
        <v>113419775</v>
      </c>
      <c r="K229">
        <f t="shared" si="18"/>
        <v>45800</v>
      </c>
      <c r="L229" s="20">
        <f t="shared" si="23"/>
        <v>0.36046511627906974</v>
      </c>
      <c r="M229" s="24">
        <f t="shared" si="19"/>
        <v>232.55813953488374</v>
      </c>
      <c r="N229" s="11">
        <f t="shared" si="20"/>
        <v>1360.4651162790697</v>
      </c>
      <c r="O229" s="20">
        <f t="shared" si="21"/>
        <v>0.36046511627906969</v>
      </c>
      <c r="P229" s="2">
        <f t="shared" si="22"/>
        <v>0.21999999999999975</v>
      </c>
    </row>
    <row r="230" spans="1:16" ht="15" customHeight="1" x14ac:dyDescent="0.15">
      <c r="A230" s="7" t="s">
        <v>10</v>
      </c>
      <c r="B230" s="7" t="s">
        <v>11</v>
      </c>
      <c r="C230" s="8" t="s">
        <v>36</v>
      </c>
      <c r="D230" s="2">
        <v>5.84</v>
      </c>
      <c r="E230" s="2">
        <v>5.93</v>
      </c>
      <c r="F230" s="2">
        <v>5.78</v>
      </c>
      <c r="G230" s="2">
        <v>5.88</v>
      </c>
      <c r="H230" s="17">
        <v>77650</v>
      </c>
      <c r="I230" s="11">
        <v>666.91</v>
      </c>
      <c r="J230" s="14">
        <v>113419775</v>
      </c>
      <c r="K230">
        <f t="shared" si="18"/>
        <v>45803</v>
      </c>
      <c r="L230" s="20">
        <f t="shared" si="23"/>
        <v>0.3674418604651164</v>
      </c>
      <c r="M230" s="24">
        <f t="shared" si="19"/>
        <v>232.55813953488374</v>
      </c>
      <c r="N230" s="11">
        <f t="shared" si="20"/>
        <v>1367.4418604651164</v>
      </c>
      <c r="O230" s="20">
        <f t="shared" si="21"/>
        <v>0.3674418604651164</v>
      </c>
      <c r="P230" s="2">
        <f t="shared" si="22"/>
        <v>0.14999999999999947</v>
      </c>
    </row>
    <row r="231" spans="1:16" ht="15" customHeight="1" x14ac:dyDescent="0.15">
      <c r="A231" s="7" t="s">
        <v>10</v>
      </c>
      <c r="B231" s="7" t="s">
        <v>11</v>
      </c>
      <c r="C231" s="8" t="s">
        <v>35</v>
      </c>
      <c r="D231" s="2">
        <v>5.96</v>
      </c>
      <c r="E231" s="2">
        <v>5.99</v>
      </c>
      <c r="F231" s="2">
        <v>5.75</v>
      </c>
      <c r="G231" s="2">
        <v>5.86</v>
      </c>
      <c r="H231" s="17">
        <v>255107</v>
      </c>
      <c r="I231" s="11">
        <v>664.64</v>
      </c>
      <c r="J231" s="14">
        <v>113419775</v>
      </c>
      <c r="K231">
        <f t="shared" si="18"/>
        <v>45804</v>
      </c>
      <c r="L231" s="20">
        <f t="shared" si="23"/>
        <v>0.36279069767441863</v>
      </c>
      <c r="M231" s="24">
        <f t="shared" si="19"/>
        <v>232.55813953488374</v>
      </c>
      <c r="N231" s="11">
        <f t="shared" si="20"/>
        <v>1362.7906976744189</v>
      </c>
      <c r="O231" s="20">
        <f t="shared" si="21"/>
        <v>0.3627906976744189</v>
      </c>
      <c r="P231" s="2">
        <f t="shared" si="22"/>
        <v>0.24000000000000021</v>
      </c>
    </row>
    <row r="232" spans="1:16" ht="15" customHeight="1" x14ac:dyDescent="0.15">
      <c r="A232" s="7" t="s">
        <v>10</v>
      </c>
      <c r="B232" s="7" t="s">
        <v>11</v>
      </c>
      <c r="C232" s="8" t="s">
        <v>34</v>
      </c>
      <c r="D232" s="2">
        <v>5.8</v>
      </c>
      <c r="E232" s="2">
        <v>5.91</v>
      </c>
      <c r="F232" s="2">
        <v>5.75</v>
      </c>
      <c r="G232" s="2">
        <v>5.82</v>
      </c>
      <c r="H232" s="17">
        <v>65243</v>
      </c>
      <c r="I232" s="11">
        <v>660.1</v>
      </c>
      <c r="J232" s="14">
        <v>113419775</v>
      </c>
      <c r="K232">
        <f t="shared" si="18"/>
        <v>45805</v>
      </c>
      <c r="L232" s="20">
        <f t="shared" si="23"/>
        <v>0.35348837209302331</v>
      </c>
      <c r="M232" s="24">
        <f t="shared" si="19"/>
        <v>232.55813953488374</v>
      </c>
      <c r="N232" s="11">
        <f t="shared" si="20"/>
        <v>1353.4883720930234</v>
      </c>
      <c r="O232" s="20">
        <f t="shared" si="21"/>
        <v>0.35348837209302336</v>
      </c>
      <c r="P232" s="2">
        <f t="shared" si="22"/>
        <v>0.16000000000000014</v>
      </c>
    </row>
    <row r="233" spans="1:16" ht="15" customHeight="1" x14ac:dyDescent="0.15">
      <c r="A233" s="7" t="s">
        <v>10</v>
      </c>
      <c r="B233" s="7" t="s">
        <v>11</v>
      </c>
      <c r="C233" s="8" t="s">
        <v>33</v>
      </c>
      <c r="D233" s="2">
        <v>5.82</v>
      </c>
      <c r="E233" s="2">
        <v>5.91</v>
      </c>
      <c r="F233" s="2">
        <v>5.73</v>
      </c>
      <c r="G233" s="2">
        <v>5.8</v>
      </c>
      <c r="H233" s="17">
        <v>177457</v>
      </c>
      <c r="I233" s="11">
        <v>657.83</v>
      </c>
      <c r="J233" s="14">
        <v>113419775</v>
      </c>
      <c r="K233">
        <f t="shared" si="18"/>
        <v>45806</v>
      </c>
      <c r="L233" s="20">
        <f t="shared" si="23"/>
        <v>0.34883720930232553</v>
      </c>
      <c r="M233" s="24">
        <f t="shared" si="19"/>
        <v>232.55813953488374</v>
      </c>
      <c r="N233" s="11">
        <f t="shared" si="20"/>
        <v>1348.8372093023256</v>
      </c>
      <c r="O233" s="20">
        <f t="shared" si="21"/>
        <v>0.34883720930232565</v>
      </c>
      <c r="P233" s="2">
        <f t="shared" si="22"/>
        <v>0.17999999999999972</v>
      </c>
    </row>
    <row r="234" spans="1:16" ht="15" customHeight="1" x14ac:dyDescent="0.15">
      <c r="A234" s="7" t="s">
        <v>10</v>
      </c>
      <c r="B234" s="7" t="s">
        <v>11</v>
      </c>
      <c r="C234" s="8" t="s">
        <v>32</v>
      </c>
      <c r="D234" s="2">
        <v>5.78</v>
      </c>
      <c r="E234" s="2">
        <v>5.95</v>
      </c>
      <c r="F234" s="2">
        <v>5.74</v>
      </c>
      <c r="G234" s="2">
        <v>5.9</v>
      </c>
      <c r="H234" s="17">
        <v>123315</v>
      </c>
      <c r="I234" s="11">
        <v>669.18</v>
      </c>
      <c r="J234" s="14">
        <v>113419775</v>
      </c>
      <c r="K234">
        <f t="shared" si="18"/>
        <v>45807</v>
      </c>
      <c r="L234" s="20">
        <f t="shared" si="23"/>
        <v>0.37209302325581417</v>
      </c>
      <c r="M234" s="24">
        <f t="shared" si="19"/>
        <v>232.55813953488374</v>
      </c>
      <c r="N234" s="11">
        <f t="shared" si="20"/>
        <v>1372.0930232558142</v>
      </c>
      <c r="O234" s="20">
        <f t="shared" si="21"/>
        <v>0.37209302325581417</v>
      </c>
      <c r="P234" s="2">
        <f t="shared" si="22"/>
        <v>0.20999999999999996</v>
      </c>
    </row>
    <row r="235" spans="1:16" ht="15" customHeight="1" x14ac:dyDescent="0.15">
      <c r="A235" s="7" t="s">
        <v>10</v>
      </c>
      <c r="B235" s="7" t="s">
        <v>11</v>
      </c>
      <c r="C235" s="8" t="s">
        <v>31</v>
      </c>
      <c r="D235" s="2">
        <v>5.86</v>
      </c>
      <c r="E235" s="2">
        <v>6.01</v>
      </c>
      <c r="F235" s="2">
        <v>5.86</v>
      </c>
      <c r="G235" s="2">
        <v>6</v>
      </c>
      <c r="H235" s="17">
        <v>96325</v>
      </c>
      <c r="I235" s="11">
        <v>680.52</v>
      </c>
      <c r="J235" s="14">
        <v>113419775</v>
      </c>
      <c r="K235">
        <f t="shared" si="18"/>
        <v>45810</v>
      </c>
      <c r="L235" s="20">
        <f t="shared" si="23"/>
        <v>0.39534883720930236</v>
      </c>
      <c r="M235" s="24">
        <f t="shared" si="19"/>
        <v>232.55813953488374</v>
      </c>
      <c r="N235" s="11">
        <f t="shared" si="20"/>
        <v>1395.3488372093025</v>
      </c>
      <c r="O235" s="20">
        <f t="shared" si="21"/>
        <v>0.39534883720930247</v>
      </c>
      <c r="P235" s="2">
        <f t="shared" si="22"/>
        <v>0.14999999999999947</v>
      </c>
    </row>
    <row r="236" spans="1:16" ht="15" customHeight="1" x14ac:dyDescent="0.15">
      <c r="A236" s="7" t="s">
        <v>10</v>
      </c>
      <c r="B236" s="7" t="s">
        <v>11</v>
      </c>
      <c r="C236" s="8" t="s">
        <v>30</v>
      </c>
      <c r="D236" s="2">
        <v>6</v>
      </c>
      <c r="E236" s="2">
        <v>6.15</v>
      </c>
      <c r="F236" s="2">
        <v>5.9749999999999996</v>
      </c>
      <c r="G236" s="2">
        <v>6.1</v>
      </c>
      <c r="H236" s="17">
        <v>105195</v>
      </c>
      <c r="I236" s="11">
        <v>691.86</v>
      </c>
      <c r="J236" s="14">
        <v>113419775</v>
      </c>
      <c r="K236">
        <f t="shared" si="18"/>
        <v>45811</v>
      </c>
      <c r="L236" s="20">
        <f t="shared" si="23"/>
        <v>0.41860465116279078</v>
      </c>
      <c r="M236" s="24">
        <f t="shared" si="19"/>
        <v>232.55813953488374</v>
      </c>
      <c r="N236" s="11">
        <f t="shared" si="20"/>
        <v>1418.6046511627908</v>
      </c>
      <c r="O236" s="20">
        <f t="shared" si="21"/>
        <v>0.41860465116279078</v>
      </c>
      <c r="P236" s="2">
        <f t="shared" si="22"/>
        <v>0.17500000000000071</v>
      </c>
    </row>
    <row r="237" spans="1:16" ht="15" customHeight="1" x14ac:dyDescent="0.15">
      <c r="A237" s="7" t="s">
        <v>10</v>
      </c>
      <c r="B237" s="7" t="s">
        <v>11</v>
      </c>
      <c r="C237" s="8" t="s">
        <v>29</v>
      </c>
      <c r="D237" s="2">
        <v>6.1</v>
      </c>
      <c r="E237" s="2">
        <v>6.3</v>
      </c>
      <c r="F237" s="2">
        <v>6.09</v>
      </c>
      <c r="G237" s="2">
        <v>6.22</v>
      </c>
      <c r="H237" s="17">
        <v>170980</v>
      </c>
      <c r="I237" s="11">
        <v>705.47</v>
      </c>
      <c r="J237" s="14">
        <v>113419775</v>
      </c>
      <c r="K237">
        <f t="shared" si="18"/>
        <v>45812</v>
      </c>
      <c r="L237" s="20">
        <f t="shared" si="23"/>
        <v>0.44651162790697674</v>
      </c>
      <c r="M237" s="24">
        <f t="shared" si="19"/>
        <v>232.55813953488374</v>
      </c>
      <c r="N237" s="11">
        <f t="shared" si="20"/>
        <v>1446.5116279069769</v>
      </c>
      <c r="O237" s="20">
        <f t="shared" si="21"/>
        <v>0.44651162790697685</v>
      </c>
      <c r="P237" s="2">
        <f t="shared" si="22"/>
        <v>0.20999999999999996</v>
      </c>
    </row>
    <row r="238" spans="1:16" ht="15" customHeight="1" x14ac:dyDescent="0.15">
      <c r="A238" s="7" t="s">
        <v>10</v>
      </c>
      <c r="B238" s="7" t="s">
        <v>11</v>
      </c>
      <c r="C238" s="8" t="s">
        <v>28</v>
      </c>
      <c r="D238" s="2">
        <v>6.2</v>
      </c>
      <c r="E238" s="2">
        <v>6.25</v>
      </c>
      <c r="F238" s="2">
        <v>6.04</v>
      </c>
      <c r="G238" s="2">
        <v>6.14</v>
      </c>
      <c r="H238" s="17">
        <v>87601</v>
      </c>
      <c r="I238" s="11">
        <v>696.4</v>
      </c>
      <c r="J238" s="14">
        <v>113419775</v>
      </c>
      <c r="K238">
        <f t="shared" si="18"/>
        <v>45813</v>
      </c>
      <c r="L238" s="20">
        <f t="shared" si="23"/>
        <v>0.4279069767441861</v>
      </c>
      <c r="M238" s="24">
        <f t="shared" si="19"/>
        <v>232.55813953488374</v>
      </c>
      <c r="N238" s="11">
        <f t="shared" si="20"/>
        <v>1427.9069767441861</v>
      </c>
      <c r="O238" s="20">
        <f t="shared" si="21"/>
        <v>0.42790697674418604</v>
      </c>
      <c r="P238" s="2">
        <f t="shared" si="22"/>
        <v>0.20999999999999996</v>
      </c>
    </row>
    <row r="239" spans="1:16" ht="15" customHeight="1" x14ac:dyDescent="0.15">
      <c r="A239" s="7" t="s">
        <v>10</v>
      </c>
      <c r="B239" s="7" t="s">
        <v>11</v>
      </c>
      <c r="C239" s="8" t="s">
        <v>27</v>
      </c>
      <c r="D239" s="2">
        <v>6.16</v>
      </c>
      <c r="E239" s="2">
        <v>6.21</v>
      </c>
      <c r="F239" s="2">
        <v>6.03</v>
      </c>
      <c r="G239" s="2">
        <v>6.03</v>
      </c>
      <c r="H239" s="17">
        <v>172347</v>
      </c>
      <c r="I239" s="11">
        <v>683.92</v>
      </c>
      <c r="J239" s="14">
        <v>113419775</v>
      </c>
      <c r="K239">
        <f t="shared" si="18"/>
        <v>45814</v>
      </c>
      <c r="L239" s="20">
        <f t="shared" si="23"/>
        <v>0.40232558139534902</v>
      </c>
      <c r="M239" s="24">
        <f t="shared" si="19"/>
        <v>232.55813953488374</v>
      </c>
      <c r="N239" s="11">
        <f t="shared" si="20"/>
        <v>1402.325581395349</v>
      </c>
      <c r="O239" s="20">
        <f t="shared" si="21"/>
        <v>0.40232558139534896</v>
      </c>
      <c r="P239" s="2">
        <f t="shared" si="22"/>
        <v>0.17999999999999972</v>
      </c>
    </row>
    <row r="240" spans="1:16" ht="15" customHeight="1" x14ac:dyDescent="0.15">
      <c r="A240" s="7" t="s">
        <v>10</v>
      </c>
      <c r="B240" s="7" t="s">
        <v>11</v>
      </c>
      <c r="C240" s="8" t="s">
        <v>26</v>
      </c>
      <c r="D240" s="2">
        <v>6.03</v>
      </c>
      <c r="E240" s="2">
        <v>6.17</v>
      </c>
      <c r="F240" s="2">
        <v>6</v>
      </c>
      <c r="G240" s="2">
        <v>6.07</v>
      </c>
      <c r="H240" s="17">
        <v>81144</v>
      </c>
      <c r="I240" s="11">
        <v>688.46</v>
      </c>
      <c r="J240" s="14">
        <v>113419775</v>
      </c>
      <c r="K240">
        <f t="shared" si="18"/>
        <v>45818</v>
      </c>
      <c r="L240" s="20">
        <f t="shared" si="23"/>
        <v>0.41162790697674434</v>
      </c>
      <c r="M240" s="24">
        <f t="shared" si="19"/>
        <v>232.55813953488374</v>
      </c>
      <c r="N240" s="11">
        <f t="shared" si="20"/>
        <v>1411.6279069767443</v>
      </c>
      <c r="O240" s="20">
        <f t="shared" si="21"/>
        <v>0.41162790697674428</v>
      </c>
      <c r="P240" s="2">
        <f t="shared" si="22"/>
        <v>0.16999999999999993</v>
      </c>
    </row>
    <row r="241" spans="1:16" ht="15" customHeight="1" x14ac:dyDescent="0.15">
      <c r="A241" s="7" t="s">
        <v>10</v>
      </c>
      <c r="B241" s="7" t="s">
        <v>11</v>
      </c>
      <c r="C241" s="8" t="s">
        <v>25</v>
      </c>
      <c r="D241" s="2">
        <v>6</v>
      </c>
      <c r="E241" s="2">
        <v>6.09</v>
      </c>
      <c r="F241" s="2">
        <v>5.81</v>
      </c>
      <c r="G241" s="2">
        <v>5.86</v>
      </c>
      <c r="H241" s="17">
        <v>62269</v>
      </c>
      <c r="I241" s="11">
        <v>664.64</v>
      </c>
      <c r="J241" s="14">
        <v>113419775</v>
      </c>
      <c r="K241">
        <f t="shared" si="18"/>
        <v>45819</v>
      </c>
      <c r="L241" s="20">
        <f t="shared" si="23"/>
        <v>0.36279069767441863</v>
      </c>
      <c r="M241" s="24">
        <f t="shared" si="19"/>
        <v>232.55813953488374</v>
      </c>
      <c r="N241" s="11">
        <f t="shared" si="20"/>
        <v>1362.7906976744189</v>
      </c>
      <c r="O241" s="20">
        <f t="shared" si="21"/>
        <v>0.3627906976744189</v>
      </c>
      <c r="P241" s="2">
        <f t="shared" si="22"/>
        <v>0.28000000000000025</v>
      </c>
    </row>
    <row r="242" spans="1:16" ht="15" customHeight="1" x14ac:dyDescent="0.15">
      <c r="A242" s="7" t="s">
        <v>10</v>
      </c>
      <c r="B242" s="7" t="s">
        <v>11</v>
      </c>
      <c r="C242" s="8" t="s">
        <v>24</v>
      </c>
      <c r="D242" s="2">
        <v>5.9</v>
      </c>
      <c r="E242" s="2">
        <v>6.15</v>
      </c>
      <c r="F242" s="2">
        <v>5.81</v>
      </c>
      <c r="G242" s="2">
        <v>6.06</v>
      </c>
      <c r="H242" s="17">
        <v>148538</v>
      </c>
      <c r="I242" s="11">
        <v>687.32</v>
      </c>
      <c r="J242" s="14">
        <v>113419775</v>
      </c>
      <c r="K242">
        <f t="shared" si="18"/>
        <v>45820</v>
      </c>
      <c r="L242" s="20">
        <f t="shared" si="23"/>
        <v>0.40930232558139523</v>
      </c>
      <c r="M242" s="24">
        <f t="shared" si="19"/>
        <v>232.55813953488374</v>
      </c>
      <c r="N242" s="11">
        <f t="shared" si="20"/>
        <v>1409.3023255813953</v>
      </c>
      <c r="O242" s="20">
        <f t="shared" si="21"/>
        <v>0.40930232558139529</v>
      </c>
      <c r="P242" s="2">
        <f t="shared" si="22"/>
        <v>0.34000000000000075</v>
      </c>
    </row>
    <row r="243" spans="1:16" ht="15" customHeight="1" x14ac:dyDescent="0.15">
      <c r="A243" s="7" t="s">
        <v>10</v>
      </c>
      <c r="B243" s="7" t="s">
        <v>11</v>
      </c>
      <c r="C243" s="8" t="s">
        <v>23</v>
      </c>
      <c r="D243" s="2">
        <v>6</v>
      </c>
      <c r="E243" s="2">
        <v>6.13</v>
      </c>
      <c r="F243" s="2">
        <v>5.99</v>
      </c>
      <c r="G243" s="2">
        <v>6.13</v>
      </c>
      <c r="H243" s="17">
        <v>171463</v>
      </c>
      <c r="I243" s="11">
        <v>695.26</v>
      </c>
      <c r="J243" s="14">
        <v>113419775</v>
      </c>
      <c r="K243">
        <f t="shared" si="18"/>
        <v>45821</v>
      </c>
      <c r="L243" s="20">
        <f t="shared" si="23"/>
        <v>0.42558139534883721</v>
      </c>
      <c r="M243" s="24">
        <f t="shared" si="19"/>
        <v>232.55813953488374</v>
      </c>
      <c r="N243" s="11">
        <f t="shared" si="20"/>
        <v>1425.5813953488373</v>
      </c>
      <c r="O243" s="20">
        <f t="shared" si="21"/>
        <v>0.42558139534883732</v>
      </c>
      <c r="P243" s="2">
        <f t="shared" si="22"/>
        <v>0.13999999999999968</v>
      </c>
    </row>
    <row r="244" spans="1:16" ht="15" customHeight="1" x14ac:dyDescent="0.15">
      <c r="A244" s="7" t="s">
        <v>10</v>
      </c>
      <c r="B244" s="7" t="s">
        <v>11</v>
      </c>
      <c r="C244" s="8" t="s">
        <v>22</v>
      </c>
      <c r="D244" s="2">
        <v>6.09</v>
      </c>
      <c r="E244" s="2">
        <v>6.1</v>
      </c>
      <c r="F244" s="2">
        <v>5.91</v>
      </c>
      <c r="G244" s="2">
        <v>6.06</v>
      </c>
      <c r="H244" s="17">
        <v>88351</v>
      </c>
      <c r="I244" s="11">
        <v>687.32</v>
      </c>
      <c r="J244" s="14">
        <v>113419775</v>
      </c>
      <c r="K244">
        <f t="shared" si="18"/>
        <v>45824</v>
      </c>
      <c r="L244" s="20">
        <f t="shared" si="23"/>
        <v>0.40930232558139523</v>
      </c>
      <c r="M244" s="24">
        <f t="shared" si="19"/>
        <v>232.55813953488374</v>
      </c>
      <c r="N244" s="11">
        <f t="shared" si="20"/>
        <v>1409.3023255813953</v>
      </c>
      <c r="O244" s="20">
        <f t="shared" si="21"/>
        <v>0.40930232558139529</v>
      </c>
      <c r="P244" s="2">
        <f t="shared" si="22"/>
        <v>0.1899999999999995</v>
      </c>
    </row>
    <row r="245" spans="1:16" ht="15" customHeight="1" x14ac:dyDescent="0.15">
      <c r="A245" s="7" t="s">
        <v>10</v>
      </c>
      <c r="B245" s="7" t="s">
        <v>11</v>
      </c>
      <c r="C245" s="8" t="s">
        <v>21</v>
      </c>
      <c r="D245" s="2">
        <v>6.06</v>
      </c>
      <c r="E245" s="2">
        <v>6.11</v>
      </c>
      <c r="F245" s="2">
        <v>5.97</v>
      </c>
      <c r="G245" s="2">
        <v>6.01</v>
      </c>
      <c r="H245" s="17">
        <v>99725</v>
      </c>
      <c r="I245" s="11">
        <v>681.65</v>
      </c>
      <c r="J245" s="14">
        <v>113419775</v>
      </c>
      <c r="K245">
        <f t="shared" si="18"/>
        <v>45825</v>
      </c>
      <c r="L245" s="20">
        <f t="shared" si="23"/>
        <v>0.39767441860465125</v>
      </c>
      <c r="M245" s="24">
        <f t="shared" si="19"/>
        <v>232.55813953488374</v>
      </c>
      <c r="N245" s="11">
        <f t="shared" si="20"/>
        <v>1397.6744186046512</v>
      </c>
      <c r="O245" s="20">
        <f t="shared" si="21"/>
        <v>0.39767441860465125</v>
      </c>
      <c r="P245" s="2">
        <f t="shared" si="22"/>
        <v>0.14000000000000057</v>
      </c>
    </row>
    <row r="246" spans="1:16" ht="15" customHeight="1" x14ac:dyDescent="0.15">
      <c r="A246" s="7" t="s">
        <v>10</v>
      </c>
      <c r="B246" s="7" t="s">
        <v>11</v>
      </c>
      <c r="C246" s="8" t="s">
        <v>20</v>
      </c>
      <c r="D246" s="2">
        <v>6</v>
      </c>
      <c r="E246" s="2">
        <v>6.05</v>
      </c>
      <c r="F246" s="2">
        <v>5.91</v>
      </c>
      <c r="G246" s="2">
        <v>5.99</v>
      </c>
      <c r="H246" s="17">
        <v>101788</v>
      </c>
      <c r="I246" s="11">
        <v>679.38</v>
      </c>
      <c r="J246" s="14">
        <v>113419775</v>
      </c>
      <c r="K246">
        <f t="shared" si="18"/>
        <v>45826</v>
      </c>
      <c r="L246" s="20">
        <f t="shared" si="23"/>
        <v>0.3930232558139537</v>
      </c>
      <c r="M246" s="24">
        <f t="shared" si="19"/>
        <v>232.55813953488374</v>
      </c>
      <c r="N246" s="11">
        <f t="shared" si="20"/>
        <v>1393.0232558139537</v>
      </c>
      <c r="O246" s="20">
        <f t="shared" si="21"/>
        <v>0.3930232558139537</v>
      </c>
      <c r="P246" s="2">
        <f t="shared" si="22"/>
        <v>0.13999999999999968</v>
      </c>
    </row>
    <row r="247" spans="1:16" ht="15" customHeight="1" x14ac:dyDescent="0.15">
      <c r="A247" s="7" t="s">
        <v>10</v>
      </c>
      <c r="B247" s="7" t="s">
        <v>11</v>
      </c>
      <c r="C247" s="8" t="s">
        <v>19</v>
      </c>
      <c r="D247" s="2">
        <v>5.92</v>
      </c>
      <c r="E247" s="2">
        <v>6.11</v>
      </c>
      <c r="F247" s="2">
        <v>5.92</v>
      </c>
      <c r="G247" s="2">
        <v>6.1</v>
      </c>
      <c r="H247" s="17">
        <v>91707</v>
      </c>
      <c r="I247" s="11">
        <v>691.86</v>
      </c>
      <c r="J247" s="14">
        <v>113419775</v>
      </c>
      <c r="K247">
        <f t="shared" si="18"/>
        <v>45827</v>
      </c>
      <c r="L247" s="20">
        <f t="shared" si="23"/>
        <v>0.41860465116279078</v>
      </c>
      <c r="M247" s="24">
        <f t="shared" si="19"/>
        <v>232.55813953488374</v>
      </c>
      <c r="N247" s="11">
        <f t="shared" si="20"/>
        <v>1418.6046511627908</v>
      </c>
      <c r="O247" s="20">
        <f t="shared" si="21"/>
        <v>0.41860465116279078</v>
      </c>
      <c r="P247" s="2">
        <f t="shared" si="22"/>
        <v>0.19000000000000039</v>
      </c>
    </row>
    <row r="248" spans="1:16" ht="15" customHeight="1" x14ac:dyDescent="0.15">
      <c r="A248" s="7" t="s">
        <v>10</v>
      </c>
      <c r="B248" s="7" t="s">
        <v>11</v>
      </c>
      <c r="C248" s="8" t="s">
        <v>18</v>
      </c>
      <c r="D248" s="2">
        <v>6</v>
      </c>
      <c r="E248" s="2">
        <v>6.13</v>
      </c>
      <c r="F248" s="2">
        <v>6</v>
      </c>
      <c r="G248" s="2">
        <v>6.06</v>
      </c>
      <c r="H248" s="17">
        <v>669379</v>
      </c>
      <c r="I248" s="11">
        <v>687.32</v>
      </c>
      <c r="J248" s="14">
        <v>113419775</v>
      </c>
      <c r="K248">
        <f t="shared" si="18"/>
        <v>45828</v>
      </c>
      <c r="L248" s="20">
        <f t="shared" si="23"/>
        <v>0.40930232558139523</v>
      </c>
      <c r="M248" s="24">
        <f t="shared" si="19"/>
        <v>232.55813953488374</v>
      </c>
      <c r="N248" s="11">
        <f t="shared" si="20"/>
        <v>1409.3023255813953</v>
      </c>
      <c r="O248" s="20">
        <f t="shared" si="21"/>
        <v>0.40930232558139529</v>
      </c>
      <c r="P248" s="2">
        <f t="shared" si="22"/>
        <v>0.12999999999999989</v>
      </c>
    </row>
    <row r="249" spans="1:16" ht="15" customHeight="1" x14ac:dyDescent="0.15">
      <c r="A249" s="7" t="s">
        <v>10</v>
      </c>
      <c r="B249" s="7" t="s">
        <v>11</v>
      </c>
      <c r="C249" s="8" t="s">
        <v>17</v>
      </c>
      <c r="D249" s="2">
        <v>5.9</v>
      </c>
      <c r="E249" s="2">
        <v>6.24</v>
      </c>
      <c r="F249" s="2">
        <v>5.9</v>
      </c>
      <c r="G249" s="2">
        <v>6.16</v>
      </c>
      <c r="H249" s="17">
        <v>204871</v>
      </c>
      <c r="I249" s="11">
        <v>698.67</v>
      </c>
      <c r="J249" s="14">
        <v>113419775</v>
      </c>
      <c r="K249">
        <f t="shared" si="18"/>
        <v>45831</v>
      </c>
      <c r="L249" s="20">
        <f t="shared" si="23"/>
        <v>0.43255813953488387</v>
      </c>
      <c r="M249" s="24">
        <f t="shared" si="19"/>
        <v>232.55813953488374</v>
      </c>
      <c r="N249" s="11">
        <f t="shared" si="20"/>
        <v>1432.5581395348838</v>
      </c>
      <c r="O249" s="20">
        <f t="shared" si="21"/>
        <v>0.43255813953488381</v>
      </c>
      <c r="P249" s="2">
        <f t="shared" si="22"/>
        <v>0.33999999999999986</v>
      </c>
    </row>
    <row r="250" spans="1:16" ht="15" customHeight="1" x14ac:dyDescent="0.15">
      <c r="A250" s="7" t="s">
        <v>10</v>
      </c>
      <c r="B250" s="7" t="s">
        <v>11</v>
      </c>
      <c r="C250" s="8" t="s">
        <v>16</v>
      </c>
      <c r="D250" s="2">
        <v>6.16</v>
      </c>
      <c r="E250" s="2">
        <v>6.21</v>
      </c>
      <c r="F250" s="2">
        <v>5.99</v>
      </c>
      <c r="G250" s="2">
        <v>6.01</v>
      </c>
      <c r="H250" s="17">
        <v>99502</v>
      </c>
      <c r="I250" s="11">
        <v>681.65</v>
      </c>
      <c r="J250" s="14">
        <v>113419775</v>
      </c>
      <c r="K250">
        <f t="shared" si="18"/>
        <v>45832</v>
      </c>
      <c r="L250" s="20">
        <f t="shared" si="23"/>
        <v>0.39767441860465125</v>
      </c>
      <c r="M250" s="24">
        <f t="shared" si="19"/>
        <v>232.55813953488374</v>
      </c>
      <c r="N250" s="11">
        <f t="shared" si="20"/>
        <v>1397.6744186046512</v>
      </c>
      <c r="O250" s="20">
        <f t="shared" si="21"/>
        <v>0.39767441860465125</v>
      </c>
      <c r="P250" s="2">
        <f t="shared" si="22"/>
        <v>0.21999999999999975</v>
      </c>
    </row>
    <row r="251" spans="1:16" ht="15" customHeight="1" x14ac:dyDescent="0.15">
      <c r="A251" s="7" t="s">
        <v>10</v>
      </c>
      <c r="B251" s="7" t="s">
        <v>11</v>
      </c>
      <c r="C251" s="8" t="s">
        <v>15</v>
      </c>
      <c r="D251" s="2">
        <v>6.19</v>
      </c>
      <c r="E251" s="2">
        <v>6.29</v>
      </c>
      <c r="F251" s="2">
        <v>6.03</v>
      </c>
      <c r="G251" s="2">
        <v>6.16</v>
      </c>
      <c r="H251" s="17">
        <v>193473</v>
      </c>
      <c r="I251" s="11">
        <v>698.67</v>
      </c>
      <c r="J251" s="14">
        <v>113419775</v>
      </c>
      <c r="K251">
        <f t="shared" si="18"/>
        <v>45833</v>
      </c>
      <c r="L251" s="20">
        <f t="shared" si="23"/>
        <v>0.43255813953488387</v>
      </c>
      <c r="M251" s="24">
        <f t="shared" si="19"/>
        <v>232.55813953488374</v>
      </c>
      <c r="N251" s="11">
        <f t="shared" si="20"/>
        <v>1432.5581395348838</v>
      </c>
      <c r="O251" s="20">
        <f t="shared" si="21"/>
        <v>0.43255813953488381</v>
      </c>
      <c r="P251" s="2">
        <f t="shared" si="22"/>
        <v>0.25999999999999979</v>
      </c>
    </row>
    <row r="252" spans="1:16" ht="15" customHeight="1" x14ac:dyDescent="0.15">
      <c r="A252" s="7" t="s">
        <v>10</v>
      </c>
      <c r="B252" s="7" t="s">
        <v>11</v>
      </c>
      <c r="C252" s="8" t="s">
        <v>14</v>
      </c>
      <c r="D252" s="2">
        <v>6.06</v>
      </c>
      <c r="E252" s="2">
        <v>6.29</v>
      </c>
      <c r="F252" s="2">
        <v>6.06</v>
      </c>
      <c r="G252" s="2">
        <v>6.28</v>
      </c>
      <c r="H252" s="17">
        <v>92103</v>
      </c>
      <c r="I252" s="11">
        <v>712.28</v>
      </c>
      <c r="J252" s="14">
        <v>113419775</v>
      </c>
      <c r="K252">
        <f t="shared" si="18"/>
        <v>45834</v>
      </c>
      <c r="L252" s="20">
        <f t="shared" si="23"/>
        <v>0.46046511627906983</v>
      </c>
      <c r="M252" s="24">
        <f t="shared" si="19"/>
        <v>232.55813953488374</v>
      </c>
      <c r="N252" s="11">
        <f t="shared" si="20"/>
        <v>1460.4651162790699</v>
      </c>
      <c r="O252" s="20">
        <f t="shared" si="21"/>
        <v>0.46046511627906989</v>
      </c>
      <c r="P252" s="2">
        <f t="shared" si="22"/>
        <v>0.23000000000000043</v>
      </c>
    </row>
    <row r="253" spans="1:16" ht="15" customHeight="1" x14ac:dyDescent="0.15">
      <c r="A253" s="7" t="s">
        <v>10</v>
      </c>
      <c r="B253" s="7" t="s">
        <v>11</v>
      </c>
      <c r="C253" s="8" t="s">
        <v>13</v>
      </c>
      <c r="D253" s="2">
        <v>6.29</v>
      </c>
      <c r="E253" s="2">
        <v>6.33</v>
      </c>
      <c r="F253" s="2">
        <v>6.16</v>
      </c>
      <c r="G253" s="2">
        <v>6.19</v>
      </c>
      <c r="H253" s="17">
        <v>81055</v>
      </c>
      <c r="I253" s="11">
        <v>702.07</v>
      </c>
      <c r="J253" s="14">
        <v>113419775</v>
      </c>
      <c r="K253">
        <f t="shared" si="18"/>
        <v>45835</v>
      </c>
      <c r="L253" s="20">
        <f t="shared" si="23"/>
        <v>0.4395348837209303</v>
      </c>
      <c r="M253" s="24">
        <f t="shared" si="19"/>
        <v>232.55813953488374</v>
      </c>
      <c r="N253" s="11">
        <f t="shared" si="20"/>
        <v>1439.5348837209303</v>
      </c>
      <c r="O253" s="20">
        <f t="shared" si="21"/>
        <v>0.43953488372093036</v>
      </c>
      <c r="P253" s="2">
        <f t="shared" si="22"/>
        <v>0.16999999999999993</v>
      </c>
    </row>
    <row r="254" spans="1:16" ht="15" customHeight="1" x14ac:dyDescent="0.15">
      <c r="A254" s="7" t="s">
        <v>10</v>
      </c>
      <c r="B254" s="7" t="s">
        <v>11</v>
      </c>
      <c r="C254" s="8" t="s">
        <v>12</v>
      </c>
      <c r="D254" s="2">
        <v>6.19</v>
      </c>
      <c r="E254" s="2">
        <v>6.45</v>
      </c>
      <c r="F254" s="2">
        <v>6.19</v>
      </c>
      <c r="G254" s="2">
        <v>6.39</v>
      </c>
      <c r="H254" s="17">
        <v>184984</v>
      </c>
      <c r="I254" s="11">
        <v>724.75</v>
      </c>
      <c r="J254" s="14">
        <v>113419775</v>
      </c>
      <c r="K254">
        <f t="shared" si="18"/>
        <v>45838</v>
      </c>
      <c r="L254" s="20">
        <f t="shared" si="23"/>
        <v>0.48604651162790691</v>
      </c>
      <c r="M254" s="24">
        <f t="shared" si="19"/>
        <v>232.55813953488374</v>
      </c>
      <c r="N254" s="11">
        <f t="shared" si="20"/>
        <v>1486.046511627907</v>
      </c>
      <c r="O254" s="20">
        <f t="shared" si="21"/>
        <v>0.48604651162790696</v>
      </c>
      <c r="P254" s="2">
        <f t="shared" si="22"/>
        <v>0.25999999999999979</v>
      </c>
    </row>
    <row r="255" spans="1:16" ht="15" customHeight="1" x14ac:dyDescent="0.15">
      <c r="F255" s="28"/>
      <c r="G255" s="28"/>
      <c r="P255" s="2"/>
    </row>
    <row r="256" spans="1:16" ht="15" customHeight="1" x14ac:dyDescent="0.15">
      <c r="F256" s="28"/>
      <c r="G256" s="28"/>
      <c r="P256" s="2"/>
    </row>
  </sheetData>
  <autoFilter ref="A1:K256" xr:uid="{24FB3462-83C5-6D46-A647-FF833B69F609}">
    <sortState xmlns:xlrd2="http://schemas.microsoft.com/office/spreadsheetml/2017/richdata2" ref="A2:K254">
      <sortCondition ref="K1:K254"/>
    </sortState>
  </autoFilter>
  <conditionalFormatting sqref="O2:O254">
    <cfRule type="dataBar" priority="1">
      <dataBar>
        <cfvo type="min"/>
        <cfvo type="max"/>
        <color theme="9" tint="0.59999389629810485"/>
      </dataBar>
      <extLst>
        <ext xmlns:x14="http://schemas.microsoft.com/office/spreadsheetml/2009/9/main" uri="{B025F937-C7B1-47D3-B67F-A62EFF666E3E}">
          <x14:id>{33C95E86-3A6C-F843-B18E-46F500CE97CA}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C95E86-3A6C-F843-B18E-46F500CE9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O2:O254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7A68-DAB8-AB46-8756-5E9327848569}">
  <sheetPr>
    <tabColor theme="9" tint="0.39997558519241921"/>
  </sheetPr>
  <dimension ref="A1:A2"/>
  <sheetViews>
    <sheetView topLeftCell="B1" zoomScale="109" workbookViewId="0">
      <selection activeCell="Q17" sqref="Q17"/>
    </sheetView>
  </sheetViews>
  <sheetFormatPr baseColWidth="10" defaultRowHeight="13" x14ac:dyDescent="0.15"/>
  <sheetData>
    <row r="1" spans="1:1" x14ac:dyDescent="0.15">
      <c r="A1" s="58" t="s">
        <v>300</v>
      </c>
    </row>
    <row r="2" spans="1:1" x14ac:dyDescent="0.15">
      <c r="A2" s="63">
        <f>CORREL('AEF-keep'!G:G,'AEF-keep'!H:H)</f>
        <v>0.20037399049817659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DEBD-106B-4B40-A2BA-CBEDC9C8F0C2}">
  <sheetPr>
    <tabColor theme="9" tint="0.39997558519241921"/>
  </sheetPr>
  <dimension ref="A1"/>
  <sheetViews>
    <sheetView workbookViewId="0">
      <selection activeCell="V10" sqref="V10"/>
    </sheetView>
  </sheetViews>
  <sheetFormatPr baseColWidth="10" defaultRowHeight="13" x14ac:dyDescent="0.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5EA57-6C29-BB4B-9446-6003A12BF8AA}">
  <sheetPr>
    <tabColor theme="9" tint="0.39997558519241921"/>
  </sheetPr>
  <dimension ref="A1"/>
  <sheetViews>
    <sheetView zoomScale="125" workbookViewId="0">
      <selection activeCell="N29" sqref="N29"/>
    </sheetView>
  </sheetViews>
  <sheetFormatPr baseColWidth="10" defaultRowHeight="13" x14ac:dyDescent="0.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B59E-F22D-8948-B0F6-600AF4D634D2}">
  <sheetPr>
    <tabColor theme="9" tint="0.39997558519241921"/>
  </sheetPr>
  <dimension ref="A1"/>
  <sheetViews>
    <sheetView zoomScale="114" workbookViewId="0">
      <selection activeCell="N19" sqref="N19"/>
    </sheetView>
  </sheetViews>
  <sheetFormatPr baseColWidth="10" defaultRowHeight="13" x14ac:dyDescent="0.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8F6B-EF67-BE4F-AB15-3D6E16BFD7AB}">
  <sheetPr>
    <tabColor theme="9" tint="0.39997558519241921"/>
  </sheetPr>
  <dimension ref="A1"/>
  <sheetViews>
    <sheetView workbookViewId="0">
      <selection activeCell="P23" sqref="P23"/>
    </sheetView>
  </sheetViews>
  <sheetFormatPr baseColWidth="10" defaultRowHeight="13" x14ac:dyDescent="0.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0F081-717A-E54C-B340-650AE50E3A62}">
  <sheetPr>
    <tabColor theme="9" tint="0.39997558519241921"/>
  </sheetPr>
  <dimension ref="A1:B7"/>
  <sheetViews>
    <sheetView topLeftCell="C1" zoomScale="116" workbookViewId="0">
      <selection activeCell="P25" sqref="P25"/>
    </sheetView>
  </sheetViews>
  <sheetFormatPr baseColWidth="10" defaultRowHeight="13" x14ac:dyDescent="0.15"/>
  <cols>
    <col min="1" max="1" width="26.6640625" style="47" customWidth="1"/>
    <col min="2" max="2" width="12.83203125" style="47" customWidth="1"/>
  </cols>
  <sheetData>
    <row r="1" spans="1:2" x14ac:dyDescent="0.15">
      <c r="A1" s="47" t="s">
        <v>270</v>
      </c>
      <c r="B1" s="48">
        <v>1000</v>
      </c>
    </row>
    <row r="2" spans="1:2" x14ac:dyDescent="0.15">
      <c r="A2" s="47" t="s">
        <v>272</v>
      </c>
      <c r="B2" s="48">
        <f>'AEF-keep'!R1</f>
        <v>3.77</v>
      </c>
    </row>
    <row r="3" spans="1:2" x14ac:dyDescent="0.15">
      <c r="A3" s="47" t="s">
        <v>273</v>
      </c>
      <c r="B3" s="48">
        <f>'AEF-keep'!R2</f>
        <v>6.46</v>
      </c>
    </row>
    <row r="4" spans="1:2" x14ac:dyDescent="0.15">
      <c r="A4" s="47" t="s">
        <v>271</v>
      </c>
      <c r="B4" s="49">
        <f>B1/B2</f>
        <v>265.25198938992042</v>
      </c>
    </row>
    <row r="5" spans="1:2" x14ac:dyDescent="0.15">
      <c r="A5" s="47" t="s">
        <v>274</v>
      </c>
      <c r="B5" s="50">
        <f>B4*B3</f>
        <v>1713.5278514588858</v>
      </c>
    </row>
    <row r="6" spans="1:2" x14ac:dyDescent="0.15">
      <c r="A6" s="51" t="s">
        <v>275</v>
      </c>
      <c r="B6" s="52">
        <f>(B3-B2)*B4</f>
        <v>713.52785145888595</v>
      </c>
    </row>
    <row r="7" spans="1:2" x14ac:dyDescent="0.15">
      <c r="A7" s="51" t="s">
        <v>278</v>
      </c>
      <c r="B7" s="55">
        <f>(B5-B1)/B1</f>
        <v>0.71352785145888586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E485-4C79-B645-AB3C-EAC0B5F9482C}">
  <sheetPr>
    <tabColor theme="9" tint="0.39997558519241921"/>
  </sheetPr>
  <dimension ref="A1:J5"/>
  <sheetViews>
    <sheetView topLeftCell="A5" zoomScale="108" workbookViewId="0">
      <selection activeCell="L27" sqref="L27"/>
    </sheetView>
  </sheetViews>
  <sheetFormatPr baseColWidth="10" defaultRowHeight="13" x14ac:dyDescent="0.15"/>
  <cols>
    <col min="1" max="1" width="10.83203125" style="47"/>
    <col min="4" max="4" width="10.83203125" style="11"/>
    <col min="5" max="5" width="17.6640625" style="24" customWidth="1"/>
    <col min="7" max="7" width="10.83203125" style="11"/>
    <col min="8" max="8" width="19.5" customWidth="1"/>
  </cols>
  <sheetData>
    <row r="1" spans="1:10" s="47" customFormat="1" x14ac:dyDescent="0.15">
      <c r="B1" s="47" t="s">
        <v>282</v>
      </c>
      <c r="C1" s="47" t="s">
        <v>283</v>
      </c>
      <c r="D1" s="48" t="s">
        <v>284</v>
      </c>
      <c r="E1" s="49" t="s">
        <v>285</v>
      </c>
      <c r="F1" s="47" t="s">
        <v>286</v>
      </c>
      <c r="G1" s="48" t="s">
        <v>287</v>
      </c>
      <c r="H1" s="47" t="s">
        <v>288</v>
      </c>
      <c r="I1" s="47" t="s">
        <v>289</v>
      </c>
    </row>
    <row r="2" spans="1:10" x14ac:dyDescent="0.15">
      <c r="A2" s="47" t="s">
        <v>279</v>
      </c>
      <c r="B2" s="11">
        <v>1000</v>
      </c>
      <c r="C2" s="56">
        <v>45478</v>
      </c>
      <c r="D2" s="11">
        <v>4.22</v>
      </c>
      <c r="E2" s="57">
        <f>B2/D2</f>
        <v>236.96682464454977</v>
      </c>
      <c r="F2" s="56">
        <v>45616</v>
      </c>
      <c r="G2" s="11">
        <v>5.0999999999999996</v>
      </c>
      <c r="H2" s="11">
        <f>G2*E2</f>
        <v>1208.5308056872038</v>
      </c>
      <c r="I2" s="26">
        <f>H2-B2</f>
        <v>208.53080568720384</v>
      </c>
      <c r="J2" s="20">
        <f>(H2-B2)/B2</f>
        <v>0.20853080568720384</v>
      </c>
    </row>
    <row r="3" spans="1:10" x14ac:dyDescent="0.15">
      <c r="A3" s="47" t="s">
        <v>280</v>
      </c>
      <c r="B3" s="26">
        <f>H2</f>
        <v>1208.5308056872038</v>
      </c>
      <c r="C3" s="56">
        <v>45694</v>
      </c>
      <c r="D3" s="11">
        <v>4.7300000000000004</v>
      </c>
      <c r="E3" s="24">
        <f>B3/D3</f>
        <v>255.50334158291832</v>
      </c>
      <c r="F3" s="56">
        <v>45719</v>
      </c>
      <c r="G3" s="11">
        <v>6.46</v>
      </c>
      <c r="H3" s="26">
        <f>E3*G3</f>
        <v>1650.5515866256524</v>
      </c>
      <c r="I3" s="26">
        <f>H3-B3</f>
        <v>442.02078093844852</v>
      </c>
      <c r="J3" s="20">
        <f>(H3-B3)/B3</f>
        <v>0.36575052854122603</v>
      </c>
    </row>
    <row r="4" spans="1:10" x14ac:dyDescent="0.15">
      <c r="A4" s="47" t="s">
        <v>281</v>
      </c>
      <c r="B4" s="11">
        <f>H3</f>
        <v>1650.5515866256524</v>
      </c>
      <c r="C4" s="56">
        <v>45756</v>
      </c>
      <c r="D4" s="11">
        <v>4.9800000000000004</v>
      </c>
      <c r="E4" s="24">
        <f>B4/D4</f>
        <v>331.43606157141613</v>
      </c>
      <c r="F4" s="56">
        <v>45792</v>
      </c>
      <c r="G4" s="11">
        <v>6.21</v>
      </c>
      <c r="H4" s="26">
        <f>E4*G4</f>
        <v>2058.2179423584944</v>
      </c>
      <c r="I4" s="26">
        <f>H4-B4</f>
        <v>407.66635573284202</v>
      </c>
      <c r="J4" s="20">
        <f t="shared" ref="J4" si="0">(H4-B4)/B4</f>
        <v>0.24698795180722902</v>
      </c>
    </row>
    <row r="5" spans="1:10" x14ac:dyDescent="0.15">
      <c r="A5" s="47" t="s">
        <v>290</v>
      </c>
      <c r="I5" s="54">
        <f>(H4-B2)/B2</f>
        <v>1.0582179423584943</v>
      </c>
    </row>
  </sheetData>
  <phoneticPr fontId="21" type="noConversion"/>
  <conditionalFormatting sqref="I2:I4">
    <cfRule type="cellIs" dxfId="1" priority="1" operator="lessThanOrEqual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A14B2-B5FD-DD41-B732-7396C0F30349}">
  <sheetPr>
    <tabColor theme="9" tint="0.39997558519241921"/>
  </sheetPr>
  <dimension ref="A1"/>
  <sheetViews>
    <sheetView zoomScale="109" workbookViewId="0">
      <selection activeCell="O36" sqref="O36"/>
    </sheetView>
  </sheetViews>
  <sheetFormatPr baseColWidth="10" defaultRowHeight="13" x14ac:dyDescent="0.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EAD2-17AF-2C46-B81D-FA5DDB0594F8}">
  <sheetPr>
    <tabColor theme="9" tint="0.39997558519241921"/>
  </sheetPr>
  <dimension ref="A1:F14"/>
  <sheetViews>
    <sheetView tabSelected="1" topLeftCell="F1" zoomScale="134" workbookViewId="0">
      <selection activeCell="R17" sqref="R17"/>
    </sheetView>
  </sheetViews>
  <sheetFormatPr baseColWidth="10" defaultRowHeight="13" x14ac:dyDescent="0.15"/>
  <cols>
    <col min="1" max="1" width="13.6640625" customWidth="1"/>
    <col min="2" max="2" width="18" customWidth="1"/>
    <col min="3" max="3" width="18.5" customWidth="1"/>
    <col min="4" max="4" width="16.5" style="20" customWidth="1"/>
    <col min="5" max="5" width="19" customWidth="1"/>
    <col min="6" max="6" width="21.83203125" customWidth="1"/>
  </cols>
  <sheetData>
    <row r="1" spans="1:6" x14ac:dyDescent="0.15">
      <c r="A1" s="58" t="s">
        <v>293</v>
      </c>
      <c r="B1" s="58" t="s">
        <v>294</v>
      </c>
      <c r="C1" s="58" t="s">
        <v>295</v>
      </c>
      <c r="D1" s="60" t="s">
        <v>296</v>
      </c>
      <c r="E1" s="58" t="s">
        <v>297</v>
      </c>
      <c r="F1" s="58" t="s">
        <v>299</v>
      </c>
    </row>
    <row r="2" spans="1:6" x14ac:dyDescent="0.15">
      <c r="A2" s="59">
        <v>45474</v>
      </c>
      <c r="B2" s="11">
        <v>4.3</v>
      </c>
      <c r="C2" s="11">
        <v>3.98</v>
      </c>
      <c r="D2" s="20">
        <f>((C2/B2)-1)</f>
        <v>-7.441860465116279E-2</v>
      </c>
      <c r="E2" s="20">
        <f>D2</f>
        <v>-7.441860465116279E-2</v>
      </c>
      <c r="F2" s="62">
        <v>3.8031569945351097E-2</v>
      </c>
    </row>
    <row r="3" spans="1:6" x14ac:dyDescent="0.15">
      <c r="A3" s="59">
        <v>45505</v>
      </c>
      <c r="B3" s="11">
        <v>4.1100000000000003</v>
      </c>
      <c r="C3" s="11">
        <v>4.1500000000000004</v>
      </c>
      <c r="D3" s="20">
        <f t="shared" ref="D3:D13" si="0">((C3/B3)-1)</f>
        <v>9.7323600973235891E-3</v>
      </c>
      <c r="E3" s="20">
        <f>((1+E2/100)*(1+D3/100)-1)*100</f>
        <v>-6.4693487240430336E-2</v>
      </c>
      <c r="F3" s="62">
        <v>3.8031569945351097E-2</v>
      </c>
    </row>
    <row r="4" spans="1:6" x14ac:dyDescent="0.15">
      <c r="A4" s="59">
        <v>45536</v>
      </c>
      <c r="B4" s="11">
        <v>4.0999999999999996</v>
      </c>
      <c r="C4" s="11">
        <v>4.37</v>
      </c>
      <c r="D4" s="20">
        <f t="shared" si="0"/>
        <v>6.5853658536585424E-2</v>
      </c>
      <c r="E4" s="20">
        <f t="shared" ref="E4:E13" si="1">((1+E3/100)*(1+D4/100)-1)*100</f>
        <v>1.1175682679942511E-3</v>
      </c>
      <c r="F4" s="62">
        <v>3.8031569945351097E-2</v>
      </c>
    </row>
    <row r="5" spans="1:6" x14ac:dyDescent="0.15">
      <c r="A5" s="59">
        <v>45566</v>
      </c>
      <c r="B5" s="11">
        <v>4.46</v>
      </c>
      <c r="C5" s="11">
        <v>4.5</v>
      </c>
      <c r="D5" s="20">
        <f t="shared" si="0"/>
        <v>8.9686098654708779E-3</v>
      </c>
      <c r="E5" s="20">
        <f t="shared" si="1"/>
        <v>1.0086278363807821E-2</v>
      </c>
      <c r="F5" s="62">
        <v>3.8031569945351097E-2</v>
      </c>
    </row>
    <row r="6" spans="1:6" x14ac:dyDescent="0.15">
      <c r="A6" s="59">
        <v>45597</v>
      </c>
      <c r="B6" s="11">
        <v>4.4000000000000004</v>
      </c>
      <c r="C6" s="11">
        <v>5.05</v>
      </c>
      <c r="D6" s="20">
        <f t="shared" si="0"/>
        <v>0.14772727272727249</v>
      </c>
      <c r="E6" s="20">
        <f t="shared" si="1"/>
        <v>0.15782845127503276</v>
      </c>
      <c r="F6" s="62">
        <v>3.8031569945351097E-2</v>
      </c>
    </row>
    <row r="7" spans="1:6" x14ac:dyDescent="0.15">
      <c r="A7" s="59">
        <v>45627</v>
      </c>
      <c r="B7" s="11">
        <v>5</v>
      </c>
      <c r="C7" s="11">
        <v>5.38</v>
      </c>
      <c r="D7" s="20">
        <f t="shared" si="0"/>
        <v>7.6000000000000068E-2</v>
      </c>
      <c r="E7" s="20">
        <f t="shared" si="1"/>
        <v>0.23394840089800972</v>
      </c>
      <c r="F7" s="62">
        <v>3.8031569945351097E-2</v>
      </c>
    </row>
    <row r="8" spans="1:6" x14ac:dyDescent="0.15">
      <c r="A8" s="59">
        <v>45658</v>
      </c>
      <c r="B8" s="11">
        <v>5.2</v>
      </c>
      <c r="C8" s="11">
        <v>4.99</v>
      </c>
      <c r="D8" s="20">
        <f t="shared" si="0"/>
        <v>-4.0384615384615352E-2</v>
      </c>
      <c r="E8" s="20">
        <f t="shared" si="1"/>
        <v>0.19346930635149029</v>
      </c>
      <c r="F8" s="62">
        <v>3.8031569945351097E-2</v>
      </c>
    </row>
    <row r="9" spans="1:6" x14ac:dyDescent="0.15">
      <c r="A9" s="59">
        <v>45689</v>
      </c>
      <c r="B9" s="11">
        <v>4.8499999999999996</v>
      </c>
      <c r="C9" s="11">
        <v>6.23</v>
      </c>
      <c r="D9" s="20">
        <f t="shared" si="0"/>
        <v>0.2845360824742269</v>
      </c>
      <c r="E9" s="20">
        <f t="shared" si="1"/>
        <v>0.47855587881080464</v>
      </c>
      <c r="F9" s="62">
        <v>3.8031569945351097E-2</v>
      </c>
    </row>
    <row r="10" spans="1:6" x14ac:dyDescent="0.15">
      <c r="A10" s="59">
        <v>45717</v>
      </c>
      <c r="B10" s="11">
        <v>6.46</v>
      </c>
      <c r="C10" s="11">
        <v>5.9</v>
      </c>
      <c r="D10" s="20">
        <f t="shared" si="0"/>
        <v>-8.6687306501547878E-2</v>
      </c>
      <c r="E10" s="20">
        <f t="shared" si="1"/>
        <v>0.3914537251078265</v>
      </c>
      <c r="F10" s="62">
        <v>3.8031569945351097E-2</v>
      </c>
    </row>
    <row r="11" spans="1:6" x14ac:dyDescent="0.15">
      <c r="A11" s="59">
        <v>45748</v>
      </c>
      <c r="B11" s="11">
        <v>5.92</v>
      </c>
      <c r="C11" s="11">
        <v>5.2</v>
      </c>
      <c r="D11" s="20">
        <f t="shared" si="0"/>
        <v>-0.1216216216216216</v>
      </c>
      <c r="E11" s="20">
        <f t="shared" si="1"/>
        <v>0.26935601111781615</v>
      </c>
      <c r="F11" s="62">
        <v>3.8031569945351097E-2</v>
      </c>
    </row>
    <row r="12" spans="1:6" x14ac:dyDescent="0.15">
      <c r="A12" s="59">
        <v>45778</v>
      </c>
      <c r="B12" s="11">
        <v>5.26</v>
      </c>
      <c r="C12" s="11">
        <v>5.9</v>
      </c>
      <c r="D12" s="20">
        <f t="shared" si="0"/>
        <v>0.12167300380228152</v>
      </c>
      <c r="E12" s="20">
        <f t="shared" si="1"/>
        <v>0.3913567484697511</v>
      </c>
      <c r="F12" s="62">
        <v>3.8031569945351097E-2</v>
      </c>
    </row>
    <row r="13" spans="1:6" x14ac:dyDescent="0.15">
      <c r="A13" s="59">
        <v>45809</v>
      </c>
      <c r="B13" s="11">
        <v>6</v>
      </c>
      <c r="C13" s="11">
        <v>6.39</v>
      </c>
      <c r="D13" s="20">
        <f t="shared" si="0"/>
        <v>6.4999999999999947E-2</v>
      </c>
      <c r="E13" s="20">
        <f t="shared" si="1"/>
        <v>0.45661113035626588</v>
      </c>
      <c r="F13" s="62">
        <v>3.8031569945351097E-2</v>
      </c>
    </row>
    <row r="14" spans="1:6" x14ac:dyDescent="0.15">
      <c r="C14" s="27" t="s">
        <v>298</v>
      </c>
      <c r="D14" s="61">
        <f>AVERAGE(D2:D13)</f>
        <v>3.8031569945351097E-2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AEF-keep</vt:lpstr>
      <vt:lpstr>Stock close price vs volume </vt:lpstr>
      <vt:lpstr>Stock movement analysis</vt:lpstr>
      <vt:lpstr>Capital vs issued shares analys</vt:lpstr>
      <vt:lpstr>Close price yield analysis</vt:lpstr>
      <vt:lpstr>Portfolio Value</vt:lpstr>
      <vt:lpstr>Single trade for max profits</vt:lpstr>
      <vt:lpstr>Multi trades for maximum profit</vt:lpstr>
      <vt:lpstr>Volatility analysis</vt:lpstr>
      <vt:lpstr>Monthly perf. analysis</vt:lpstr>
    </vt:vector>
  </TitlesOfParts>
  <Company>Morningstar Research (Thailand)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</dc:creator>
  <cp:lastModifiedBy>Rose Tazbaz Martinez</cp:lastModifiedBy>
  <dcterms:created xsi:type="dcterms:W3CDTF">2025-08-07T06:41:25Z</dcterms:created>
  <dcterms:modified xsi:type="dcterms:W3CDTF">2025-08-22T01:08:51Z</dcterms:modified>
</cp:coreProperties>
</file>